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codeName="EsteLivro" defaultThemeVersion="124226"/>
  <mc:AlternateContent xmlns:mc="http://schemas.openxmlformats.org/markup-compatibility/2006">
    <mc:Choice Requires="x15">
      <x15ac:absPath xmlns:x15ac="http://schemas.microsoft.com/office/spreadsheetml/2010/11/ac" url="C:\Users\MR\Desktop\"/>
    </mc:Choice>
  </mc:AlternateContent>
  <xr:revisionPtr revIDLastSave="0" documentId="8_{43C4706F-A77A-42A6-97E6-91BC3E171EB3}" xr6:coauthVersionLast="47" xr6:coauthVersionMax="47" xr10:uidLastSave="{00000000-0000-0000-0000-000000000000}"/>
  <bookViews>
    <workbookView xWindow="-120" yWindow="-120" windowWidth="29040" windowHeight="15720" tabRatio="663" activeTab="1" xr2:uid="{00000000-000D-0000-FFFF-FFFF00000000}"/>
  </bookViews>
  <sheets>
    <sheet name="Resumo" sheetId="65" r:id="rId1"/>
    <sheet name="LPU detalhado" sheetId="63" r:id="rId2"/>
    <sheet name="FF&amp;E" sheetId="67" r:id="rId3"/>
  </sheets>
  <externalReferences>
    <externalReference r:id="rId4"/>
    <externalReference r:id="rId5"/>
  </externalReferences>
  <definedNames>
    <definedName name="_ref1" localSheetId="2">#REF!</definedName>
    <definedName name="_ref1" localSheetId="1">#REF!</definedName>
    <definedName name="_ref1" localSheetId="0">#REF!</definedName>
    <definedName name="_ref1">#REF!</definedName>
    <definedName name="_xlnm.Print_Area" localSheetId="1">'LPU detalhado'!$B$1:$G$1855</definedName>
    <definedName name="_xlnm.Print_Area" localSheetId="0">Resumo!$B$1:$E$23</definedName>
    <definedName name="efffw" localSheetId="2">#REF!</definedName>
    <definedName name="efffw" localSheetId="1">#REF!</definedName>
    <definedName name="efffw" localSheetId="0">#REF!</definedName>
    <definedName name="efffw">#REF!</definedName>
    <definedName name="Excel_BuiltIn_Print_Area_1_1" localSheetId="2">[1]Arquitectura!$A$8:$F$272,[1]Arquitectura!#REF!</definedName>
    <definedName name="Excel_BuiltIn_Print_Area_1_1" localSheetId="1">[2]Arquitectura!$A$8:$F$272,[2]Arquitectura!#REF!</definedName>
    <definedName name="Excel_BuiltIn_Print_Area_1_1" localSheetId="0">[2]Arquitectura!$A$8:$F$272,[2]Arquitectura!#REF!</definedName>
    <definedName name="Excel_BuiltIn_Print_Area_1_1">[1]Arquitectura!$A$8:$F$272,[1]Arquitectura!#REF!</definedName>
    <definedName name="Excel_BuiltIn_Print_Area_1_1_1" localSheetId="2">[1]Arquitectura!$A$8:$F$272,[1]Arquitectura!#REF!</definedName>
    <definedName name="Excel_BuiltIn_Print_Area_1_1_1" localSheetId="1">[2]Arquitectura!$A$8:$F$272,[2]Arquitectura!#REF!</definedName>
    <definedName name="Excel_BuiltIn_Print_Area_1_1_1" localSheetId="0">[2]Arquitectura!$A$8:$F$272,[2]Arquitectura!#REF!</definedName>
    <definedName name="Excel_BuiltIn_Print_Area_1_1_1">[1]Arquitectura!$A$8:$F$272,[1]Arquitectura!#REF!</definedName>
    <definedName name="forbo" localSheetId="2">[1]Arquitectura!$A$8:$F$272,[1]Arquitectura!#REF!</definedName>
    <definedName name="forbo" localSheetId="1">[2]Arquitectura!$A$8:$F$272,[2]Arquitectura!#REF!</definedName>
    <definedName name="forbo" localSheetId="0">[2]Arquitectura!$A$8:$F$272,[2]Arquitectura!#REF!</definedName>
    <definedName name="forbo">[1]Arquitectura!$A$8:$F$272,[1]Arquitectura!#REF!</definedName>
    <definedName name="_xlnm.Print_Titles" localSheetId="1">'LPU detalhado'!$1:$9</definedName>
    <definedName name="_xlnm.Print_Titles" localSheetId="0">Resumo!$1:$9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937" i="63" l="1"/>
  <c r="G2001" i="63"/>
  <c r="G2065" i="63"/>
  <c r="G2129" i="63"/>
  <c r="G2193" i="63"/>
  <c r="G2259" i="63"/>
  <c r="G2324" i="63"/>
  <c r="G2388" i="63"/>
  <c r="G153" i="63"/>
  <c r="G33" i="63"/>
  <c r="G34" i="63"/>
  <c r="G35" i="63"/>
  <c r="G23" i="63"/>
  <c r="G24" i="63"/>
  <c r="G25" i="63"/>
  <c r="G26" i="63"/>
  <c r="G27" i="63"/>
  <c r="G28" i="63"/>
  <c r="G29" i="63"/>
  <c r="G30" i="63"/>
  <c r="G22" i="63"/>
  <c r="G43" i="63"/>
  <c r="G40" i="63"/>
  <c r="G41" i="63"/>
  <c r="G42" i="63"/>
  <c r="G44" i="63"/>
  <c r="G45" i="63"/>
  <c r="G46" i="63"/>
  <c r="G47" i="63"/>
  <c r="G48" i="63"/>
  <c r="G49" i="63"/>
  <c r="G50" i="63"/>
  <c r="G51" i="63"/>
  <c r="G52" i="63"/>
  <c r="G53" i="63"/>
  <c r="G54" i="63"/>
  <c r="G55" i="63"/>
  <c r="G56" i="63"/>
  <c r="G57" i="63"/>
  <c r="G58" i="63"/>
  <c r="G59" i="63"/>
  <c r="G60" i="63"/>
  <c r="G61" i="63"/>
  <c r="G62" i="63"/>
  <c r="G63" i="63"/>
  <c r="G64" i="63"/>
  <c r="G65" i="63"/>
  <c r="G66" i="63"/>
  <c r="G67" i="63"/>
  <c r="G68" i="63"/>
  <c r="G69" i="63"/>
  <c r="G70" i="63"/>
  <c r="G71" i="63"/>
  <c r="G72" i="63"/>
  <c r="G73" i="63"/>
  <c r="G74" i="63"/>
  <c r="G75" i="63"/>
  <c r="G76" i="63"/>
  <c r="G77" i="63"/>
  <c r="G78" i="63"/>
  <c r="G79" i="63"/>
  <c r="G80" i="63"/>
  <c r="G81" i="63"/>
  <c r="G82" i="63"/>
  <c r="G83" i="63"/>
  <c r="G84" i="63"/>
  <c r="G85" i="63"/>
  <c r="G86" i="63"/>
  <c r="G87" i="63"/>
  <c r="G88" i="63"/>
  <c r="G89" i="63"/>
  <c r="G90" i="63"/>
  <c r="G91" i="63"/>
  <c r="G92" i="63"/>
  <c r="G93" i="63"/>
  <c r="G94" i="63"/>
  <c r="G95" i="63"/>
  <c r="G96" i="63"/>
  <c r="G97" i="63"/>
  <c r="G98" i="63"/>
  <c r="G99" i="63"/>
  <c r="G100" i="63"/>
  <c r="G101" i="63"/>
  <c r="G102" i="63"/>
  <c r="G103" i="63"/>
  <c r="G104" i="63"/>
  <c r="G105" i="63"/>
  <c r="G106" i="63"/>
  <c r="G107" i="63"/>
  <c r="G108" i="63"/>
  <c r="G109" i="63"/>
  <c r="G110" i="63"/>
  <c r="G111" i="63"/>
  <c r="G112" i="63"/>
  <c r="G113" i="63"/>
  <c r="G114" i="63"/>
  <c r="G115" i="63"/>
  <c r="G116" i="63"/>
  <c r="G117" i="63"/>
  <c r="G118" i="63"/>
  <c r="G119" i="63"/>
  <c r="G120" i="63"/>
  <c r="G121" i="63"/>
  <c r="G130" i="63"/>
  <c r="G131" i="63"/>
  <c r="G132" i="63"/>
  <c r="G133" i="63"/>
  <c r="G134" i="63"/>
  <c r="G135" i="63"/>
  <c r="G136" i="63"/>
  <c r="G137" i="63"/>
  <c r="G138" i="63"/>
  <c r="G139" i="63"/>
  <c r="G140" i="63"/>
  <c r="G141" i="63"/>
  <c r="G142" i="63"/>
  <c r="G143" i="63"/>
  <c r="G144" i="63"/>
  <c r="G145" i="63"/>
  <c r="G146" i="63"/>
  <c r="G147" i="63"/>
  <c r="G148" i="63"/>
  <c r="G149" i="63"/>
  <c r="G150" i="63"/>
  <c r="G151" i="63"/>
  <c r="G152" i="63"/>
  <c r="G154" i="63"/>
  <c r="G155" i="63"/>
  <c r="G156" i="63"/>
  <c r="G157" i="63"/>
  <c r="G158" i="63"/>
  <c r="G159" i="63"/>
  <c r="G160" i="63"/>
  <c r="G161" i="63"/>
  <c r="G162" i="63"/>
  <c r="G163" i="63"/>
  <c r="G164" i="63"/>
  <c r="G165" i="63"/>
  <c r="G166" i="63"/>
  <c r="G167" i="63"/>
  <c r="G168" i="63"/>
  <c r="G169" i="63"/>
  <c r="G170" i="63"/>
  <c r="G171" i="63"/>
  <c r="G172" i="63"/>
  <c r="G173" i="63"/>
  <c r="G174" i="63"/>
  <c r="G175" i="63"/>
  <c r="G176" i="63"/>
  <c r="G177" i="63"/>
  <c r="G178" i="63"/>
  <c r="G179" i="63"/>
  <c r="G180" i="63"/>
  <c r="G181" i="63"/>
  <c r="G182" i="63"/>
  <c r="G183" i="63"/>
  <c r="G184" i="63"/>
  <c r="G185" i="63"/>
  <c r="G186" i="63"/>
  <c r="G187" i="63"/>
  <c r="G188" i="63"/>
  <c r="G189" i="63"/>
  <c r="G190" i="63"/>
  <c r="G191" i="63"/>
  <c r="G192" i="63"/>
  <c r="G193" i="63"/>
  <c r="G194" i="63"/>
  <c r="G195" i="63"/>
  <c r="G196" i="63"/>
  <c r="G197" i="63"/>
  <c r="G198" i="63"/>
  <c r="G199" i="63"/>
  <c r="G200" i="63"/>
  <c r="G201" i="63"/>
  <c r="G202" i="63"/>
  <c r="G203" i="63"/>
  <c r="G204" i="63"/>
  <c r="G205" i="63"/>
  <c r="G214" i="63"/>
  <c r="G215" i="63"/>
  <c r="G216" i="63"/>
  <c r="G217" i="63"/>
  <c r="G218" i="63"/>
  <c r="G219" i="63"/>
  <c r="G220" i="63"/>
  <c r="G221" i="63"/>
  <c r="G222" i="63"/>
  <c r="G223" i="63"/>
  <c r="G224" i="63"/>
  <c r="G225" i="63"/>
  <c r="G226" i="63"/>
  <c r="G227" i="63"/>
  <c r="G228" i="63"/>
  <c r="G229" i="63"/>
  <c r="G230" i="63"/>
  <c r="G231" i="63"/>
  <c r="G232" i="63"/>
  <c r="G233" i="63"/>
  <c r="G234" i="63"/>
  <c r="G235" i="63"/>
  <c r="G236" i="63"/>
  <c r="G237" i="63"/>
  <c r="G238" i="63"/>
  <c r="G239" i="63"/>
  <c r="G240" i="63"/>
  <c r="G241" i="63"/>
  <c r="G242" i="63"/>
  <c r="G243" i="63"/>
  <c r="G244" i="63"/>
  <c r="G245" i="63"/>
  <c r="G246" i="63"/>
  <c r="G247" i="63"/>
  <c r="G248" i="63"/>
  <c r="G249" i="63"/>
  <c r="G250" i="63"/>
  <c r="G251" i="63"/>
  <c r="G252" i="63"/>
  <c r="G253" i="63"/>
  <c r="G254" i="63"/>
  <c r="G255" i="63"/>
  <c r="G256" i="63"/>
  <c r="G257" i="63"/>
  <c r="G258" i="63"/>
  <c r="G259" i="63"/>
  <c r="G260" i="63"/>
  <c r="G261" i="63"/>
  <c r="G262" i="63"/>
  <c r="G263" i="63"/>
  <c r="G264" i="63"/>
  <c r="G265" i="63"/>
  <c r="G266" i="63"/>
  <c r="G267" i="63"/>
  <c r="G268" i="63"/>
  <c r="G269" i="63"/>
  <c r="G270" i="63"/>
  <c r="G271" i="63"/>
  <c r="G272" i="63"/>
  <c r="G273" i="63"/>
  <c r="G274" i="63"/>
  <c r="G275" i="63"/>
  <c r="G276" i="63"/>
  <c r="G277" i="63"/>
  <c r="G278" i="63"/>
  <c r="G279" i="63"/>
  <c r="G280" i="63"/>
  <c r="G281" i="63"/>
  <c r="G282" i="63"/>
  <c r="G283" i="63"/>
  <c r="G284" i="63"/>
  <c r="G285" i="63"/>
  <c r="G286" i="63"/>
  <c r="G287" i="63"/>
  <c r="G288" i="63"/>
  <c r="G289" i="63"/>
  <c r="G290" i="63"/>
  <c r="G291" i="63"/>
  <c r="G292" i="63"/>
  <c r="G293" i="63"/>
  <c r="G294" i="63"/>
  <c r="G306" i="63"/>
  <c r="G302" i="63"/>
  <c r="G303" i="63"/>
  <c r="G304" i="63"/>
  <c r="G305" i="63"/>
  <c r="G307" i="63"/>
  <c r="G308" i="63"/>
  <c r="G309" i="63"/>
  <c r="G310" i="63"/>
  <c r="G311" i="63"/>
  <c r="G312" i="63"/>
  <c r="G313" i="63"/>
  <c r="G314" i="63"/>
  <c r="G315" i="63"/>
  <c r="G316" i="63"/>
  <c r="G317" i="63"/>
  <c r="G318" i="63"/>
  <c r="G319" i="63"/>
  <c r="G320" i="63"/>
  <c r="G321" i="63"/>
  <c r="G322" i="63"/>
  <c r="G323" i="63"/>
  <c r="G324" i="63"/>
  <c r="G325" i="63"/>
  <c r="G326" i="63"/>
  <c r="G327" i="63"/>
  <c r="G328" i="63"/>
  <c r="G329" i="63"/>
  <c r="G330" i="63"/>
  <c r="G331" i="63"/>
  <c r="G332" i="63"/>
  <c r="G333" i="63"/>
  <c r="G334" i="63"/>
  <c r="G335" i="63"/>
  <c r="G336" i="63"/>
  <c r="G337" i="63"/>
  <c r="G338" i="63"/>
  <c r="G339" i="63"/>
  <c r="G340" i="63"/>
  <c r="G341" i="63"/>
  <c r="G342" i="63"/>
  <c r="G343" i="63"/>
  <c r="G344" i="63"/>
  <c r="G345" i="63"/>
  <c r="G346" i="63"/>
  <c r="G347" i="63"/>
  <c r="G348" i="63"/>
  <c r="G349" i="63"/>
  <c r="G350" i="63"/>
  <c r="G351" i="63"/>
  <c r="G352" i="63"/>
  <c r="G353" i="63"/>
  <c r="G354" i="63"/>
  <c r="G355" i="63"/>
  <c r="G356" i="63"/>
  <c r="G357" i="63"/>
  <c r="G358" i="63"/>
  <c r="G359" i="63"/>
  <c r="G360" i="63"/>
  <c r="G361" i="63"/>
  <c r="G362" i="63"/>
  <c r="G363" i="63"/>
  <c r="G364" i="63"/>
  <c r="G365" i="63"/>
  <c r="G366" i="63"/>
  <c r="G367" i="63"/>
  <c r="G368" i="63"/>
  <c r="G369" i="63"/>
  <c r="G370" i="63"/>
  <c r="G371" i="63"/>
  <c r="G372" i="63"/>
  <c r="G373" i="63"/>
  <c r="G374" i="63"/>
  <c r="G375" i="63"/>
  <c r="G376" i="63"/>
  <c r="G377" i="63"/>
  <c r="G386" i="63"/>
  <c r="G387" i="63"/>
  <c r="G388" i="63"/>
  <c r="G389" i="63"/>
  <c r="G390" i="63"/>
  <c r="G391" i="63"/>
  <c r="G392" i="63"/>
  <c r="G393" i="63"/>
  <c r="G394" i="63"/>
  <c r="G395" i="63"/>
  <c r="G396" i="63"/>
  <c r="G397" i="63"/>
  <c r="G398" i="63"/>
  <c r="G399" i="63"/>
  <c r="G400" i="63"/>
  <c r="G401" i="63"/>
  <c r="G402" i="63"/>
  <c r="G403" i="63"/>
  <c r="G404" i="63"/>
  <c r="G405" i="63"/>
  <c r="G406" i="63"/>
  <c r="G407" i="63"/>
  <c r="G408" i="63"/>
  <c r="G409" i="63"/>
  <c r="G410" i="63"/>
  <c r="G411" i="63"/>
  <c r="G412" i="63"/>
  <c r="G413" i="63"/>
  <c r="G414" i="63"/>
  <c r="G415" i="63"/>
  <c r="G416" i="63"/>
  <c r="G417" i="63"/>
  <c r="G418" i="63"/>
  <c r="G419" i="63"/>
  <c r="G420" i="63"/>
  <c r="G421" i="63"/>
  <c r="G422" i="63"/>
  <c r="G423" i="63"/>
  <c r="G424" i="63"/>
  <c r="G425" i="63"/>
  <c r="G426" i="63"/>
  <c r="G427" i="63"/>
  <c r="G428" i="63"/>
  <c r="G429" i="63"/>
  <c r="G430" i="63"/>
  <c r="G431" i="63"/>
  <c r="G432" i="63"/>
  <c r="G433" i="63"/>
  <c r="G434" i="63"/>
  <c r="G435" i="63"/>
  <c r="G436" i="63"/>
  <c r="G437" i="63"/>
  <c r="G438" i="63"/>
  <c r="G439" i="63"/>
  <c r="G440" i="63"/>
  <c r="G441" i="63"/>
  <c r="G442" i="63"/>
  <c r="G443" i="63"/>
  <c r="G444" i="63"/>
  <c r="G445" i="63"/>
  <c r="G446" i="63"/>
  <c r="G447" i="63"/>
  <c r="G448" i="63"/>
  <c r="G449" i="63"/>
  <c r="G450" i="63"/>
  <c r="G451" i="63"/>
  <c r="G452" i="63"/>
  <c r="G453" i="63"/>
  <c r="G454" i="63"/>
  <c r="G455" i="63"/>
  <c r="G456" i="63"/>
  <c r="G457" i="63"/>
  <c r="G458" i="63"/>
  <c r="G459" i="63"/>
  <c r="G460" i="63"/>
  <c r="G461" i="63"/>
  <c r="G470" i="63"/>
  <c r="G471" i="63"/>
  <c r="G472" i="63"/>
  <c r="G473" i="63"/>
  <c r="G474" i="63"/>
  <c r="G475" i="63"/>
  <c r="G476" i="63"/>
  <c r="G477" i="63"/>
  <c r="G478" i="63"/>
  <c r="G479" i="63"/>
  <c r="G480" i="63"/>
  <c r="G481" i="63"/>
  <c r="G482" i="63"/>
  <c r="G483" i="63"/>
  <c r="G484" i="63"/>
  <c r="G485" i="63"/>
  <c r="G486" i="63"/>
  <c r="G487" i="63"/>
  <c r="G488" i="63"/>
  <c r="G489" i="63"/>
  <c r="G490" i="63"/>
  <c r="G491" i="63"/>
  <c r="G492" i="63"/>
  <c r="G493" i="63"/>
  <c r="G494" i="63"/>
  <c r="G495" i="63"/>
  <c r="G496" i="63"/>
  <c r="G497" i="63"/>
  <c r="G498" i="63"/>
  <c r="G499" i="63"/>
  <c r="G500" i="63"/>
  <c r="G501" i="63"/>
  <c r="G502" i="63"/>
  <c r="G503" i="63"/>
  <c r="G504" i="63"/>
  <c r="G505" i="63"/>
  <c r="G506" i="63"/>
  <c r="G507" i="63"/>
  <c r="G508" i="63"/>
  <c r="G509" i="63"/>
  <c r="G510" i="63"/>
  <c r="G511" i="63"/>
  <c r="G512" i="63"/>
  <c r="G513" i="63"/>
  <c r="G514" i="63"/>
  <c r="G515" i="63"/>
  <c r="G516" i="63"/>
  <c r="G517" i="63"/>
  <c r="G518" i="63"/>
  <c r="G519" i="63"/>
  <c r="G520" i="63"/>
  <c r="G521" i="63"/>
  <c r="G522" i="63"/>
  <c r="G523" i="63"/>
  <c r="G524" i="63"/>
  <c r="G525" i="63"/>
  <c r="G526" i="63"/>
  <c r="G527" i="63"/>
  <c r="G528" i="63"/>
  <c r="G529" i="63"/>
  <c r="G530" i="63"/>
  <c r="G531" i="63"/>
  <c r="G532" i="63"/>
  <c r="G533" i="63"/>
  <c r="G534" i="63"/>
  <c r="G535" i="63"/>
  <c r="G536" i="63"/>
  <c r="G537" i="63"/>
  <c r="G538" i="63"/>
  <c r="G539" i="63"/>
  <c r="G540" i="63"/>
  <c r="G541" i="63"/>
  <c r="G542" i="63"/>
  <c r="G551" i="63"/>
  <c r="G552" i="63"/>
  <c r="G553" i="63"/>
  <c r="G554" i="63"/>
  <c r="G555" i="63"/>
  <c r="G556" i="63"/>
  <c r="G557" i="63"/>
  <c r="G558" i="63"/>
  <c r="G559" i="63"/>
  <c r="G560" i="63"/>
  <c r="G561" i="63"/>
  <c r="G562" i="63"/>
  <c r="G563" i="63"/>
  <c r="G564" i="63"/>
  <c r="G565" i="63"/>
  <c r="G566" i="63"/>
  <c r="G567" i="63"/>
  <c r="G568" i="63"/>
  <c r="G569" i="63"/>
  <c r="G570" i="63"/>
  <c r="G571" i="63"/>
  <c r="G572" i="63"/>
  <c r="G573" i="63"/>
  <c r="G574" i="63"/>
  <c r="G575" i="63"/>
  <c r="G576" i="63"/>
  <c r="G577" i="63"/>
  <c r="G578" i="63"/>
  <c r="G579" i="63"/>
  <c r="G580" i="63"/>
  <c r="G581" i="63"/>
  <c r="G582" i="63"/>
  <c r="G583" i="63"/>
  <c r="G584" i="63"/>
  <c r="G585" i="63"/>
  <c r="G586" i="63"/>
  <c r="G587" i="63"/>
  <c r="G588" i="63"/>
  <c r="G589" i="63"/>
  <c r="G590" i="63"/>
  <c r="G591" i="63"/>
  <c r="G592" i="63"/>
  <c r="G593" i="63"/>
  <c r="G594" i="63"/>
  <c r="G595" i="63"/>
  <c r="G596" i="63"/>
  <c r="G597" i="63"/>
  <c r="G598" i="63"/>
  <c r="G599" i="63"/>
  <c r="G600" i="63"/>
  <c r="G601" i="63"/>
  <c r="G602" i="63"/>
  <c r="G603" i="63"/>
  <c r="G604" i="63"/>
  <c r="G605" i="63"/>
  <c r="G606" i="63"/>
  <c r="G607" i="63"/>
  <c r="G608" i="63"/>
  <c r="G609" i="63"/>
  <c r="G610" i="63"/>
  <c r="G611" i="63"/>
  <c r="G612" i="63"/>
  <c r="G613" i="63"/>
  <c r="G614" i="63"/>
  <c r="G615" i="63"/>
  <c r="G616" i="63"/>
  <c r="G617" i="63"/>
  <c r="G618" i="63"/>
  <c r="G619" i="63"/>
  <c r="G620" i="63"/>
  <c r="G621" i="63"/>
  <c r="G622" i="63"/>
  <c r="G623" i="63"/>
  <c r="G624" i="63"/>
  <c r="G625" i="63"/>
  <c r="G626" i="63"/>
  <c r="G627" i="63"/>
  <c r="G628" i="63"/>
  <c r="G629" i="63"/>
  <c r="G630" i="63"/>
  <c r="G631" i="63"/>
  <c r="G632" i="63"/>
  <c r="G642" i="63"/>
  <c r="G643" i="63"/>
  <c r="G644" i="63"/>
  <c r="G645" i="63"/>
  <c r="G646" i="63"/>
  <c r="G647" i="63"/>
  <c r="G648" i="63"/>
  <c r="G649" i="63"/>
  <c r="G650" i="63"/>
  <c r="G651" i="63"/>
  <c r="G652" i="63"/>
  <c r="G653" i="63"/>
  <c r="G654" i="63"/>
  <c r="G655" i="63"/>
  <c r="G656" i="63"/>
  <c r="G657" i="63"/>
  <c r="G658" i="63"/>
  <c r="G659" i="63"/>
  <c r="G660" i="63"/>
  <c r="G661" i="63"/>
  <c r="G662" i="63"/>
  <c r="G663" i="63"/>
  <c r="G664" i="63"/>
  <c r="G665" i="63"/>
  <c r="G666" i="63"/>
  <c r="G667" i="63"/>
  <c r="G668" i="63"/>
  <c r="G669" i="63"/>
  <c r="G670" i="63"/>
  <c r="G671" i="63"/>
  <c r="G672" i="63"/>
  <c r="G673" i="63"/>
  <c r="G674" i="63"/>
  <c r="G675" i="63"/>
  <c r="G676" i="63"/>
  <c r="G677" i="63"/>
  <c r="G678" i="63"/>
  <c r="G679" i="63"/>
  <c r="G680" i="63"/>
  <c r="G681" i="63"/>
  <c r="G682" i="63"/>
  <c r="G683" i="63"/>
  <c r="G684" i="63"/>
  <c r="G685" i="63"/>
  <c r="G686" i="63"/>
  <c r="G687" i="63"/>
  <c r="G688" i="63"/>
  <c r="G689" i="63"/>
  <c r="G690" i="63"/>
  <c r="G691" i="63"/>
  <c r="G692" i="63"/>
  <c r="G693" i="63"/>
  <c r="G694" i="63"/>
  <c r="G695" i="63"/>
  <c r="G696" i="63"/>
  <c r="G697" i="63"/>
  <c r="G698" i="63"/>
  <c r="G699" i="63"/>
  <c r="G700" i="63"/>
  <c r="G701" i="63"/>
  <c r="G702" i="63"/>
  <c r="G703" i="63"/>
  <c r="G704" i="63"/>
  <c r="G705" i="63"/>
  <c r="G706" i="63"/>
  <c r="G707" i="63"/>
  <c r="G708" i="63"/>
  <c r="G709" i="63"/>
  <c r="G710" i="63"/>
  <c r="G711" i="63"/>
  <c r="G712" i="63"/>
  <c r="G713" i="63"/>
  <c r="G714" i="63"/>
  <c r="G715" i="63"/>
  <c r="G716" i="63"/>
  <c r="G717" i="63"/>
  <c r="G718" i="63"/>
  <c r="G719" i="63"/>
  <c r="G720" i="63"/>
  <c r="G721" i="63"/>
  <c r="G722" i="63"/>
  <c r="G731" i="63"/>
  <c r="G732" i="63"/>
  <c r="G733" i="63"/>
  <c r="G734" i="63"/>
  <c r="G735" i="63"/>
  <c r="G736" i="63"/>
  <c r="G737" i="63"/>
  <c r="G738" i="63"/>
  <c r="G739" i="63"/>
  <c r="G740" i="63"/>
  <c r="G741" i="63"/>
  <c r="G742" i="63"/>
  <c r="G743" i="63"/>
  <c r="G744" i="63"/>
  <c r="G745" i="63"/>
  <c r="G746" i="63"/>
  <c r="G747" i="63"/>
  <c r="G748" i="63"/>
  <c r="G749" i="63"/>
  <c r="G750" i="63"/>
  <c r="G751" i="63"/>
  <c r="G752" i="63"/>
  <c r="G753" i="63"/>
  <c r="G754" i="63"/>
  <c r="G755" i="63"/>
  <c r="G756" i="63"/>
  <c r="G757" i="63"/>
  <c r="G758" i="63"/>
  <c r="G759" i="63"/>
  <c r="G760" i="63"/>
  <c r="G761" i="63"/>
  <c r="G762" i="63"/>
  <c r="G763" i="63"/>
  <c r="G764" i="63"/>
  <c r="G765" i="63"/>
  <c r="G766" i="63"/>
  <c r="G767" i="63"/>
  <c r="G768" i="63"/>
  <c r="G769" i="63"/>
  <c r="G770" i="63"/>
  <c r="G771" i="63"/>
  <c r="G772" i="63"/>
  <c r="G773" i="63"/>
  <c r="G774" i="63"/>
  <c r="G775" i="63"/>
  <c r="G776" i="63"/>
  <c r="G777" i="63"/>
  <c r="G778" i="63"/>
  <c r="G779" i="63"/>
  <c r="G780" i="63"/>
  <c r="G781" i="63"/>
  <c r="G782" i="63"/>
  <c r="G783" i="63"/>
  <c r="G784" i="63"/>
  <c r="G785" i="63"/>
  <c r="G786" i="63"/>
  <c r="G787" i="63"/>
  <c r="G788" i="63"/>
  <c r="G789" i="63"/>
  <c r="G790" i="63"/>
  <c r="G791" i="63"/>
  <c r="G792" i="63"/>
  <c r="G793" i="63"/>
  <c r="G794" i="63"/>
  <c r="G795" i="63"/>
  <c r="G796" i="63"/>
  <c r="G797" i="63"/>
  <c r="G798" i="63"/>
  <c r="G799" i="63"/>
  <c r="G800" i="63"/>
  <c r="G801" i="63"/>
  <c r="G802" i="63"/>
  <c r="G803" i="63"/>
  <c r="G804" i="63"/>
  <c r="G805" i="63"/>
  <c r="G806" i="63"/>
  <c r="G807" i="63"/>
  <c r="G808" i="63"/>
  <c r="G809" i="63"/>
  <c r="G810" i="63"/>
  <c r="G811" i="63"/>
  <c r="G820" i="63"/>
  <c r="G821" i="63"/>
  <c r="G822" i="63"/>
  <c r="G823" i="63"/>
  <c r="G824" i="63"/>
  <c r="G825" i="63"/>
  <c r="G826" i="63"/>
  <c r="G827" i="63"/>
  <c r="G828" i="63"/>
  <c r="G829" i="63"/>
  <c r="G830" i="63"/>
  <c r="G831" i="63"/>
  <c r="G832" i="63"/>
  <c r="G833" i="63"/>
  <c r="G834" i="63"/>
  <c r="G835" i="63"/>
  <c r="G836" i="63"/>
  <c r="G837" i="63"/>
  <c r="G838" i="63"/>
  <c r="G839" i="63"/>
  <c r="G840" i="63"/>
  <c r="G841" i="63"/>
  <c r="G842" i="63"/>
  <c r="G843" i="63"/>
  <c r="G844" i="63"/>
  <c r="G845" i="63"/>
  <c r="G846" i="63"/>
  <c r="G847" i="63"/>
  <c r="G848" i="63"/>
  <c r="G849" i="63"/>
  <c r="G850" i="63"/>
  <c r="G851" i="63"/>
  <c r="G852" i="63"/>
  <c r="G853" i="63"/>
  <c r="G854" i="63"/>
  <c r="G855" i="63"/>
  <c r="G856" i="63"/>
  <c r="G857" i="63"/>
  <c r="G858" i="63"/>
  <c r="G859" i="63"/>
  <c r="G860" i="63"/>
  <c r="G861" i="63"/>
  <c r="G862" i="63"/>
  <c r="G863" i="63"/>
  <c r="G864" i="63"/>
  <c r="G865" i="63"/>
  <c r="G866" i="63"/>
  <c r="G867" i="63"/>
  <c r="G868" i="63"/>
  <c r="G869" i="63"/>
  <c r="G870" i="63"/>
  <c r="G871" i="63"/>
  <c r="G872" i="63"/>
  <c r="G873" i="63"/>
  <c r="G874" i="63"/>
  <c r="G875" i="63"/>
  <c r="G876" i="63"/>
  <c r="G877" i="63"/>
  <c r="G878" i="63"/>
  <c r="G879" i="63"/>
  <c r="G880" i="63"/>
  <c r="G881" i="63"/>
  <c r="G882" i="63"/>
  <c r="G883" i="63"/>
  <c r="G884" i="63"/>
  <c r="G885" i="63"/>
  <c r="G886" i="63"/>
  <c r="G887" i="63"/>
  <c r="G888" i="63"/>
  <c r="G889" i="63"/>
  <c r="G890" i="63"/>
  <c r="G891" i="63"/>
  <c r="G892" i="63"/>
  <c r="G893" i="63"/>
  <c r="G902" i="63"/>
  <c r="G903" i="63"/>
  <c r="G904" i="63"/>
  <c r="G905" i="63"/>
  <c r="G906" i="63"/>
  <c r="G907" i="63"/>
  <c r="G908" i="63"/>
  <c r="G909" i="63"/>
  <c r="G910" i="63"/>
  <c r="G911" i="63"/>
  <c r="G912" i="63"/>
  <c r="G913" i="63"/>
  <c r="G914" i="63"/>
  <c r="G915" i="63"/>
  <c r="G916" i="63"/>
  <c r="G917" i="63"/>
  <c r="G918" i="63"/>
  <c r="G919" i="63"/>
  <c r="G920" i="63"/>
  <c r="G921" i="63"/>
  <c r="G922" i="63"/>
  <c r="G923" i="63"/>
  <c r="G924" i="63"/>
  <c r="G925" i="63"/>
  <c r="G926" i="63"/>
  <c r="G927" i="63"/>
  <c r="G928" i="63"/>
  <c r="G929" i="63"/>
  <c r="G930" i="63"/>
  <c r="G931" i="63"/>
  <c r="G932" i="63"/>
  <c r="G933" i="63"/>
  <c r="G934" i="63"/>
  <c r="G935" i="63"/>
  <c r="G936" i="63"/>
  <c r="G937" i="63"/>
  <c r="G938" i="63"/>
  <c r="G939" i="63"/>
  <c r="G940" i="63"/>
  <c r="G941" i="63"/>
  <c r="G942" i="63"/>
  <c r="G943" i="63"/>
  <c r="G944" i="63"/>
  <c r="G945" i="63"/>
  <c r="G946" i="63"/>
  <c r="G947" i="63"/>
  <c r="G948" i="63"/>
  <c r="G949" i="63"/>
  <c r="G950" i="63"/>
  <c r="G951" i="63"/>
  <c r="G952" i="63"/>
  <c r="G953" i="63"/>
  <c r="G954" i="63"/>
  <c r="G955" i="63"/>
  <c r="G956" i="63"/>
  <c r="G957" i="63"/>
  <c r="G958" i="63"/>
  <c r="G959" i="63"/>
  <c r="G960" i="63"/>
  <c r="G961" i="63"/>
  <c r="G962" i="63"/>
  <c r="G963" i="63"/>
  <c r="G964" i="63"/>
  <c r="G965" i="63"/>
  <c r="G966" i="63"/>
  <c r="G967" i="63"/>
  <c r="G968" i="63"/>
  <c r="G969" i="63"/>
  <c r="G970" i="63"/>
  <c r="G971" i="63"/>
  <c r="G972" i="63"/>
  <c r="G973" i="63"/>
  <c r="G974" i="63"/>
  <c r="G975" i="63"/>
  <c r="G976" i="63"/>
  <c r="G988" i="63"/>
  <c r="G989" i="63"/>
  <c r="G990" i="63"/>
  <c r="G991" i="63"/>
  <c r="G992" i="63"/>
  <c r="G993" i="63"/>
  <c r="G994" i="63"/>
  <c r="G995" i="63"/>
  <c r="G996" i="63"/>
  <c r="G997" i="63"/>
  <c r="G998" i="63"/>
  <c r="G999" i="63"/>
  <c r="G1000" i="63"/>
  <c r="G1001" i="63"/>
  <c r="G1002" i="63"/>
  <c r="G1003" i="63"/>
  <c r="G1004" i="63"/>
  <c r="G1005" i="63"/>
  <c r="G1006" i="63"/>
  <c r="G1007" i="63"/>
  <c r="G1008" i="63"/>
  <c r="G1009" i="63"/>
  <c r="G1010" i="63"/>
  <c r="G1011" i="63"/>
  <c r="G1012" i="63"/>
  <c r="G1013" i="63"/>
  <c r="G1014" i="63"/>
  <c r="G1015" i="63"/>
  <c r="G1016" i="63"/>
  <c r="G1017" i="63"/>
  <c r="G1018" i="63"/>
  <c r="G1019" i="63"/>
  <c r="G1020" i="63"/>
  <c r="G1021" i="63"/>
  <c r="G1022" i="63"/>
  <c r="G1023" i="63"/>
  <c r="G1024" i="63"/>
  <c r="G1025" i="63"/>
  <c r="G1026" i="63"/>
  <c r="G1027" i="63"/>
  <c r="G1028" i="63"/>
  <c r="G1029" i="63"/>
  <c r="G1030" i="63"/>
  <c r="G1031" i="63"/>
  <c r="G1032" i="63"/>
  <c r="G1033" i="63"/>
  <c r="G1034" i="63"/>
  <c r="G1035" i="63"/>
  <c r="G1036" i="63"/>
  <c r="G1037" i="63"/>
  <c r="G1038" i="63"/>
  <c r="G1039" i="63"/>
  <c r="G1040" i="63"/>
  <c r="G1041" i="63"/>
  <c r="G1042" i="63"/>
  <c r="G1043" i="63"/>
  <c r="G1044" i="63"/>
  <c r="G1045" i="63"/>
  <c r="G1046" i="63"/>
  <c r="G1047" i="63"/>
  <c r="G1048" i="63"/>
  <c r="G1049" i="63"/>
  <c r="G1050" i="63"/>
  <c r="G1051" i="63"/>
  <c r="G1052" i="63"/>
  <c r="G1053" i="63"/>
  <c r="G1054" i="63"/>
  <c r="G1055" i="63"/>
  <c r="G1056" i="63"/>
  <c r="G1057" i="63"/>
  <c r="G1066" i="63"/>
  <c r="G1067" i="63"/>
  <c r="G1068" i="63"/>
  <c r="G1069" i="63"/>
  <c r="G1070" i="63"/>
  <c r="G1071" i="63"/>
  <c r="G1072" i="63"/>
  <c r="G1073" i="63"/>
  <c r="G1074" i="63"/>
  <c r="G1075" i="63"/>
  <c r="G1076" i="63"/>
  <c r="G1077" i="63"/>
  <c r="G1078" i="63"/>
  <c r="G1079" i="63"/>
  <c r="G1080" i="63"/>
  <c r="G1081" i="63"/>
  <c r="G1082" i="63"/>
  <c r="G1083" i="63"/>
  <c r="G1084" i="63"/>
  <c r="G1085" i="63"/>
  <c r="G1086" i="63"/>
  <c r="G1087" i="63"/>
  <c r="G1088" i="63"/>
  <c r="G1089" i="63"/>
  <c r="G1090" i="63"/>
  <c r="G1091" i="63"/>
  <c r="G1092" i="63"/>
  <c r="G1093" i="63"/>
  <c r="G1094" i="63"/>
  <c r="G1095" i="63"/>
  <c r="G1096" i="63"/>
  <c r="G1097" i="63"/>
  <c r="G1098" i="63"/>
  <c r="G1099" i="63"/>
  <c r="G1100" i="63"/>
  <c r="G1101" i="63"/>
  <c r="G1102" i="63"/>
  <c r="G1103" i="63"/>
  <c r="G1104" i="63"/>
  <c r="G1105" i="63"/>
  <c r="G1106" i="63"/>
  <c r="G1107" i="63"/>
  <c r="G1108" i="63"/>
  <c r="G1109" i="63"/>
  <c r="G1110" i="63"/>
  <c r="G1111" i="63"/>
  <c r="G1112" i="63"/>
  <c r="G1113" i="63"/>
  <c r="G1114" i="63"/>
  <c r="G1115" i="63"/>
  <c r="G1116" i="63"/>
  <c r="G1117" i="63"/>
  <c r="G1118" i="63"/>
  <c r="G1119" i="63"/>
  <c r="G1120" i="63"/>
  <c r="G1121" i="63"/>
  <c r="G1122" i="63"/>
  <c r="G1123" i="63"/>
  <c r="G1124" i="63"/>
  <c r="G1125" i="63"/>
  <c r="G1126" i="63"/>
  <c r="G1127" i="63"/>
  <c r="G1128" i="63"/>
  <c r="G1129" i="63"/>
  <c r="G1130" i="63"/>
  <c r="G1131" i="63"/>
  <c r="G1132" i="63"/>
  <c r="G1133" i="63"/>
  <c r="G1134" i="63"/>
  <c r="G1135" i="63"/>
  <c r="G1136" i="63"/>
  <c r="G1137" i="63"/>
  <c r="G1138" i="63"/>
  <c r="G1139" i="63"/>
  <c r="G1148" i="63"/>
  <c r="G1149" i="63"/>
  <c r="G1150" i="63"/>
  <c r="G1151" i="63"/>
  <c r="G1152" i="63"/>
  <c r="G1153" i="63"/>
  <c r="G1154" i="63"/>
  <c r="G1155" i="63"/>
  <c r="G1156" i="63"/>
  <c r="G1157" i="63"/>
  <c r="G1158" i="63"/>
  <c r="G1159" i="63"/>
  <c r="G1160" i="63"/>
  <c r="G1161" i="63"/>
  <c r="G1162" i="63"/>
  <c r="G1163" i="63"/>
  <c r="G1164" i="63"/>
  <c r="G1165" i="63"/>
  <c r="G1166" i="63"/>
  <c r="G1167" i="63"/>
  <c r="G1168" i="63"/>
  <c r="G1169" i="63"/>
  <c r="G1170" i="63"/>
  <c r="G1171" i="63"/>
  <c r="G1172" i="63"/>
  <c r="G1173" i="63"/>
  <c r="G1174" i="63"/>
  <c r="G1175" i="63"/>
  <c r="G1176" i="63"/>
  <c r="G1177" i="63"/>
  <c r="G1178" i="63"/>
  <c r="G1179" i="63"/>
  <c r="G1180" i="63"/>
  <c r="G1181" i="63"/>
  <c r="G1182" i="63"/>
  <c r="G1183" i="63"/>
  <c r="G1184" i="63"/>
  <c r="G1185" i="63"/>
  <c r="G1186" i="63"/>
  <c r="G1187" i="63"/>
  <c r="G1188" i="63"/>
  <c r="G1189" i="63"/>
  <c r="G1190" i="63"/>
  <c r="G1191" i="63"/>
  <c r="G1192" i="63"/>
  <c r="G1193" i="63"/>
  <c r="G1194" i="63"/>
  <c r="G1195" i="63"/>
  <c r="G1196" i="63"/>
  <c r="G1197" i="63"/>
  <c r="G1198" i="63"/>
  <c r="G1199" i="63"/>
  <c r="G1200" i="63"/>
  <c r="G1201" i="63"/>
  <c r="G1202" i="63"/>
  <c r="G1203" i="63"/>
  <c r="G1204" i="63"/>
  <c r="G1205" i="63"/>
  <c r="G1206" i="63"/>
  <c r="G1207" i="63"/>
  <c r="G1208" i="63"/>
  <c r="G1209" i="63"/>
  <c r="G1210" i="63"/>
  <c r="G1211" i="63"/>
  <c r="G1212" i="63"/>
  <c r="G1213" i="63"/>
  <c r="G1214" i="63"/>
  <c r="G1215" i="63"/>
  <c r="G1216" i="63"/>
  <c r="G1217" i="63"/>
  <c r="G1218" i="63"/>
  <c r="G1219" i="63"/>
  <c r="G1228" i="63"/>
  <c r="G1229" i="63"/>
  <c r="G1230" i="63"/>
  <c r="G1231" i="63"/>
  <c r="G1232" i="63"/>
  <c r="G1233" i="63"/>
  <c r="G1234" i="63"/>
  <c r="G1235" i="63"/>
  <c r="G1236" i="63"/>
  <c r="G1237" i="63"/>
  <c r="G1238" i="63"/>
  <c r="G1239" i="63"/>
  <c r="G1240" i="63"/>
  <c r="G1241" i="63"/>
  <c r="G1243" i="63"/>
  <c r="G1244" i="63"/>
  <c r="G1245" i="63"/>
  <c r="G1246" i="63"/>
  <c r="G1247" i="63"/>
  <c r="G1248" i="63"/>
  <c r="G1249" i="63"/>
  <c r="G1250" i="63"/>
  <c r="G1251" i="63"/>
  <c r="G1252" i="63"/>
  <c r="G1253" i="63"/>
  <c r="G1254" i="63"/>
  <c r="G1255" i="63"/>
  <c r="G1256" i="63"/>
  <c r="G1257" i="63"/>
  <c r="G1258" i="63"/>
  <c r="G1259" i="63"/>
  <c r="G1260" i="63"/>
  <c r="G1261" i="63"/>
  <c r="G1262" i="63"/>
  <c r="G1263" i="63"/>
  <c r="G1264" i="63"/>
  <c r="G1265" i="63"/>
  <c r="G1266" i="63"/>
  <c r="G1267" i="63"/>
  <c r="G1268" i="63"/>
  <c r="G1269" i="63"/>
  <c r="G1270" i="63"/>
  <c r="G1271" i="63"/>
  <c r="G1272" i="63"/>
  <c r="G1273" i="63"/>
  <c r="G1274" i="63"/>
  <c r="G1275" i="63"/>
  <c r="G1276" i="63"/>
  <c r="G1277" i="63"/>
  <c r="G1278" i="63"/>
  <c r="G1279" i="63"/>
  <c r="G1280" i="63"/>
  <c r="G1281" i="63"/>
  <c r="G1282" i="63"/>
  <c r="G1283" i="63"/>
  <c r="G1284" i="63"/>
  <c r="G1285" i="63"/>
  <c r="G1286" i="63"/>
  <c r="G1287" i="63"/>
  <c r="G1288" i="63"/>
  <c r="G1289" i="63"/>
  <c r="G1290" i="63"/>
  <c r="G1291" i="63"/>
  <c r="G1292" i="63"/>
  <c r="G1293" i="63"/>
  <c r="G1294" i="63"/>
  <c r="G1295" i="63"/>
  <c r="G1296" i="63"/>
  <c r="G1297" i="63"/>
  <c r="G1298" i="63"/>
  <c r="G1299" i="63"/>
  <c r="G1308" i="63"/>
  <c r="G1309" i="63"/>
  <c r="G1310" i="63"/>
  <c r="G1311" i="63"/>
  <c r="G1312" i="63"/>
  <c r="G1313" i="63"/>
  <c r="G1314" i="63"/>
  <c r="G1315" i="63"/>
  <c r="G1316" i="63"/>
  <c r="G1317" i="63"/>
  <c r="G1318" i="63"/>
  <c r="G1319" i="63"/>
  <c r="G1320" i="63"/>
  <c r="G1321" i="63"/>
  <c r="G1322" i="63"/>
  <c r="G1323" i="63"/>
  <c r="G1324" i="63"/>
  <c r="G1325" i="63"/>
  <c r="G1326" i="63"/>
  <c r="G1327" i="63"/>
  <c r="G1328" i="63"/>
  <c r="G1329" i="63"/>
  <c r="G1330" i="63"/>
  <c r="G1331" i="63"/>
  <c r="G1332" i="63"/>
  <c r="G1333" i="63"/>
  <c r="G1334" i="63"/>
  <c r="G1335" i="63"/>
  <c r="G1336" i="63"/>
  <c r="G1337" i="63"/>
  <c r="G1338" i="63"/>
  <c r="G1339" i="63"/>
  <c r="G1340" i="63"/>
  <c r="G1341" i="63"/>
  <c r="G1342" i="63"/>
  <c r="G1343" i="63"/>
  <c r="G1344" i="63"/>
  <c r="G1345" i="63"/>
  <c r="G1346" i="63"/>
  <c r="G1347" i="63"/>
  <c r="G1348" i="63"/>
  <c r="G1349" i="63"/>
  <c r="G1350" i="63"/>
  <c r="G1351" i="63"/>
  <c r="G1352" i="63"/>
  <c r="G1353" i="63"/>
  <c r="G1354" i="63"/>
  <c r="G1355" i="63"/>
  <c r="G1356" i="63"/>
  <c r="G1357" i="63"/>
  <c r="G1358" i="63"/>
  <c r="G1359" i="63"/>
  <c r="G1360" i="63"/>
  <c r="G1361" i="63"/>
  <c r="G1362" i="63"/>
  <c r="G1363" i="63"/>
  <c r="G1364" i="63"/>
  <c r="G1365" i="63"/>
  <c r="G1366" i="63"/>
  <c r="G1367" i="63"/>
  <c r="G1368" i="63"/>
  <c r="G1369" i="63"/>
  <c r="G1370" i="63"/>
  <c r="G1371" i="63"/>
  <c r="G1372" i="63"/>
  <c r="G1373" i="63"/>
  <c r="G1374" i="63"/>
  <c r="G1375" i="63"/>
  <c r="G1376" i="63"/>
  <c r="G1377" i="63"/>
  <c r="G1378" i="63"/>
  <c r="G1379" i="63"/>
  <c r="G1380" i="63"/>
  <c r="G1381" i="63"/>
  <c r="G1472" i="63"/>
  <c r="G1473" i="63"/>
  <c r="G1474" i="63"/>
  <c r="G1475" i="63"/>
  <c r="G1476" i="63"/>
  <c r="G1477" i="63"/>
  <c r="G1478" i="63"/>
  <c r="G1479" i="63"/>
  <c r="G1480" i="63"/>
  <c r="G1481" i="63"/>
  <c r="G1482" i="63"/>
  <c r="G1483" i="63"/>
  <c r="G1484" i="63"/>
  <c r="G1485" i="63"/>
  <c r="G1486" i="63"/>
  <c r="G1487" i="63"/>
  <c r="G1488" i="63"/>
  <c r="G1489" i="63"/>
  <c r="G1490" i="63"/>
  <c r="G1491" i="63"/>
  <c r="G1492" i="63"/>
  <c r="G1493" i="63"/>
  <c r="G1494" i="63"/>
  <c r="G1495" i="63"/>
  <c r="G1496" i="63"/>
  <c r="G1497" i="63"/>
  <c r="G1498" i="63"/>
  <c r="G1499" i="63"/>
  <c r="G1500" i="63"/>
  <c r="G1501" i="63"/>
  <c r="G1502" i="63"/>
  <c r="G1503" i="63"/>
  <c r="G1504" i="63"/>
  <c r="G1505" i="63"/>
  <c r="G1506" i="63"/>
  <c r="G1507" i="63"/>
  <c r="G1508" i="63"/>
  <c r="G1509" i="63"/>
  <c r="G1510" i="63"/>
  <c r="G1511" i="63"/>
  <c r="G1512" i="63"/>
  <c r="G1513" i="63"/>
  <c r="G1514" i="63"/>
  <c r="G1515" i="63"/>
  <c r="G1516" i="63"/>
  <c r="G1517" i="63"/>
  <c r="G1518" i="63"/>
  <c r="G1519" i="63"/>
  <c r="G1520" i="63"/>
  <c r="G1521" i="63"/>
  <c r="G1522" i="63"/>
  <c r="G1523" i="63"/>
  <c r="G1524" i="63"/>
  <c r="G1525" i="63"/>
  <c r="G1526" i="63"/>
  <c r="G1527" i="63"/>
  <c r="G1528" i="63"/>
  <c r="G1529" i="63"/>
  <c r="G1530" i="63"/>
  <c r="G1531" i="63"/>
  <c r="G1532" i="63"/>
  <c r="G1533" i="63"/>
  <c r="G1534" i="63"/>
  <c r="G1535" i="63"/>
  <c r="G1536" i="63"/>
  <c r="G1537" i="63"/>
  <c r="G1538" i="63"/>
  <c r="G1539" i="63"/>
  <c r="G1540" i="63"/>
  <c r="G1541" i="63"/>
  <c r="G1542" i="63"/>
  <c r="G1543" i="63"/>
  <c r="G1544" i="63"/>
  <c r="G1545" i="63"/>
  <c r="G1546" i="63"/>
  <c r="G1547" i="63"/>
  <c r="G1548" i="63"/>
  <c r="G1549" i="63"/>
  <c r="G1550" i="63"/>
  <c r="G1551" i="63"/>
  <c r="G1560" i="63"/>
  <c r="G1561" i="63"/>
  <c r="G1562" i="63"/>
  <c r="G1563" i="63"/>
  <c r="G1564" i="63"/>
  <c r="G1565" i="63"/>
  <c r="G1566" i="63"/>
  <c r="G1567" i="63"/>
  <c r="G1568" i="63"/>
  <c r="G1569" i="63"/>
  <c r="G1570" i="63"/>
  <c r="G1571" i="63"/>
  <c r="G1572" i="63"/>
  <c r="G1573" i="63"/>
  <c r="G1574" i="63"/>
  <c r="G1575" i="63"/>
  <c r="G1576" i="63"/>
  <c r="G1577" i="63"/>
  <c r="G1578" i="63"/>
  <c r="G1579" i="63"/>
  <c r="G1580" i="63"/>
  <c r="G1581" i="63"/>
  <c r="G1582" i="63"/>
  <c r="G1583" i="63"/>
  <c r="G1584" i="63"/>
  <c r="G1585" i="63"/>
  <c r="G1586" i="63"/>
  <c r="G1587" i="63"/>
  <c r="G1588" i="63"/>
  <c r="G1589" i="63"/>
  <c r="G1590" i="63"/>
  <c r="G1591" i="63"/>
  <c r="G1592" i="63"/>
  <c r="G1593" i="63"/>
  <c r="G1594" i="63"/>
  <c r="G1595" i="63"/>
  <c r="G1596" i="63"/>
  <c r="G1597" i="63"/>
  <c r="G1598" i="63"/>
  <c r="G1599" i="63"/>
  <c r="G1600" i="63"/>
  <c r="G1601" i="63"/>
  <c r="G1602" i="63"/>
  <c r="G1603" i="63"/>
  <c r="G1604" i="63"/>
  <c r="G1605" i="63"/>
  <c r="G1606" i="63"/>
  <c r="G1607" i="63"/>
  <c r="G1608" i="63"/>
  <c r="G1609" i="63"/>
  <c r="G1610" i="63"/>
  <c r="G1611" i="63"/>
  <c r="G1612" i="63"/>
  <c r="G1613" i="63"/>
  <c r="G1614" i="63"/>
  <c r="G1615" i="63"/>
  <c r="G1616" i="63"/>
  <c r="G1617" i="63"/>
  <c r="G1618" i="63"/>
  <c r="G1619" i="63"/>
  <c r="G1620" i="63"/>
  <c r="G1621" i="63"/>
  <c r="G1622" i="63"/>
  <c r="G1623" i="63"/>
  <c r="G1624" i="63"/>
  <c r="G1625" i="63"/>
  <c r="G1626" i="63"/>
  <c r="G1627" i="63"/>
  <c r="G1628" i="63"/>
  <c r="G1629" i="63"/>
  <c r="G1630" i="63"/>
  <c r="G1631" i="63"/>
  <c r="G1632" i="63"/>
  <c r="G1633" i="63"/>
  <c r="G1634" i="63"/>
  <c r="G1635" i="63"/>
  <c r="G1636" i="63"/>
  <c r="G1637" i="63"/>
  <c r="G1638" i="63"/>
  <c r="G1639" i="63"/>
  <c r="G1640" i="63"/>
  <c r="G1641" i="63"/>
  <c r="G1650" i="63"/>
  <c r="G1651" i="63"/>
  <c r="G1652" i="63"/>
  <c r="G1653" i="63"/>
  <c r="G1654" i="63"/>
  <c r="G1655" i="63"/>
  <c r="G1656" i="63"/>
  <c r="G1657" i="63"/>
  <c r="G1658" i="63"/>
  <c r="G1659" i="63"/>
  <c r="G1660" i="63"/>
  <c r="G1661" i="63"/>
  <c r="G1662" i="63"/>
  <c r="G1663" i="63"/>
  <c r="G1664" i="63"/>
  <c r="G1665" i="63"/>
  <c r="G1666" i="63"/>
  <c r="G1667" i="63"/>
  <c r="G1668" i="63"/>
  <c r="G1669" i="63"/>
  <c r="G1670" i="63"/>
  <c r="G1671" i="63"/>
  <c r="G1672" i="63"/>
  <c r="G1673" i="63"/>
  <c r="G1674" i="63"/>
  <c r="G1675" i="63"/>
  <c r="G1676" i="63"/>
  <c r="G1677" i="63"/>
  <c r="G1678" i="63"/>
  <c r="G1679" i="63"/>
  <c r="G1680" i="63"/>
  <c r="G1681" i="63"/>
  <c r="G1682" i="63"/>
  <c r="G1683" i="63"/>
  <c r="G1684" i="63"/>
  <c r="G1685" i="63"/>
  <c r="G1686" i="63"/>
  <c r="G1687" i="63"/>
  <c r="G1688" i="63"/>
  <c r="G1689" i="63"/>
  <c r="G1690" i="63"/>
  <c r="G1691" i="63"/>
  <c r="G1692" i="63"/>
  <c r="G1693" i="63"/>
  <c r="G1694" i="63"/>
  <c r="G1695" i="63"/>
  <c r="G1696" i="63"/>
  <c r="G1697" i="63"/>
  <c r="G1698" i="63"/>
  <c r="G1699" i="63"/>
  <c r="G1700" i="63"/>
  <c r="G1701" i="63"/>
  <c r="G1702" i="63"/>
  <c r="G1703" i="63"/>
  <c r="G1704" i="63"/>
  <c r="G1705" i="63"/>
  <c r="G1706" i="63"/>
  <c r="G1707" i="63"/>
  <c r="G1708" i="63"/>
  <c r="G1709" i="63"/>
  <c r="G1710" i="63"/>
  <c r="G1711" i="63"/>
  <c r="G1712" i="63"/>
  <c r="G1713" i="63"/>
  <c r="G1714" i="63"/>
  <c r="G1715" i="63"/>
  <c r="G1716" i="63"/>
  <c r="G1717" i="63"/>
  <c r="G1718" i="63"/>
  <c r="G1719" i="63"/>
  <c r="G1720" i="63"/>
  <c r="G1721" i="63"/>
  <c r="G1722" i="63"/>
  <c r="G1723" i="63"/>
  <c r="G1724" i="63"/>
  <c r="G1725" i="63"/>
  <c r="G1726" i="63"/>
  <c r="G1727" i="63"/>
  <c r="G1728" i="63"/>
  <c r="G1729" i="63"/>
  <c r="G1730" i="63"/>
  <c r="G1865" i="63"/>
  <c r="G1866" i="63"/>
  <c r="G1867" i="63"/>
  <c r="G1868" i="63"/>
  <c r="G1869" i="63"/>
  <c r="G1870" i="63"/>
  <c r="G1872" i="63"/>
  <c r="G1873" i="63"/>
  <c r="G1881" i="63"/>
  <c r="G1882" i="63"/>
  <c r="G1883" i="63"/>
  <c r="G1884" i="63"/>
  <c r="G1885" i="63"/>
  <c r="G1886" i="63"/>
  <c r="G1887" i="63"/>
  <c r="G1888" i="63"/>
  <c r="G1889" i="63"/>
  <c r="G1890" i="63"/>
  <c r="G1891" i="63"/>
  <c r="G1892" i="63"/>
  <c r="G1893" i="63"/>
  <c r="G1894" i="63"/>
  <c r="G1895" i="63"/>
  <c r="G1896" i="63"/>
  <c r="G1897" i="63"/>
  <c r="G1898" i="63"/>
  <c r="G1899" i="63"/>
  <c r="G1900" i="63"/>
  <c r="G1901" i="63"/>
  <c r="G1902" i="63"/>
  <c r="G1903" i="63"/>
  <c r="G1904" i="63"/>
  <c r="G1905" i="63"/>
  <c r="G1906" i="63"/>
  <c r="G1907" i="63"/>
  <c r="G1908" i="63"/>
  <c r="G1909" i="63"/>
  <c r="G1910" i="63"/>
  <c r="G1911" i="63"/>
  <c r="G1912" i="63"/>
  <c r="G1913" i="63"/>
  <c r="G1914" i="63"/>
  <c r="G1915" i="63"/>
  <c r="G1916" i="63"/>
  <c r="G1917" i="63"/>
  <c r="G1918" i="63"/>
  <c r="G1919" i="63"/>
  <c r="G1920" i="63"/>
  <c r="G1921" i="63"/>
  <c r="G1922" i="63"/>
  <c r="G1923" i="63"/>
  <c r="G1924" i="63"/>
  <c r="G1925" i="63"/>
  <c r="G1926" i="63"/>
  <c r="G1927" i="63"/>
  <c r="G1928" i="63"/>
  <c r="G1929" i="63"/>
  <c r="G1930" i="63"/>
  <c r="G1931" i="63"/>
  <c r="G1932" i="63"/>
  <c r="G1933" i="63"/>
  <c r="G1934" i="63"/>
  <c r="G1935" i="63"/>
  <c r="G1936" i="63"/>
  <c r="G1938" i="63"/>
  <c r="G1939" i="63"/>
  <c r="G1940" i="63"/>
  <c r="G1946" i="63"/>
  <c r="G1947" i="63"/>
  <c r="G1948" i="63"/>
  <c r="G1949" i="63"/>
  <c r="G1950" i="63"/>
  <c r="G1951" i="63"/>
  <c r="G1952" i="63"/>
  <c r="G1953" i="63"/>
  <c r="G1954" i="63"/>
  <c r="G1955" i="63"/>
  <c r="G1956" i="63"/>
  <c r="G1957" i="63"/>
  <c r="G1958" i="63"/>
  <c r="G1959" i="63"/>
  <c r="G1960" i="63"/>
  <c r="G1961" i="63"/>
  <c r="G1962" i="63"/>
  <c r="G1963" i="63"/>
  <c r="G1964" i="63"/>
  <c r="G1965" i="63"/>
  <c r="G1966" i="63"/>
  <c r="G1967" i="63"/>
  <c r="G1968" i="63"/>
  <c r="G1969" i="63"/>
  <c r="G1970" i="63"/>
  <c r="G1971" i="63"/>
  <c r="G1972" i="63"/>
  <c r="G1973" i="63"/>
  <c r="G1974" i="63"/>
  <c r="G1975" i="63"/>
  <c r="G1976" i="63"/>
  <c r="G1977" i="63"/>
  <c r="G1978" i="63"/>
  <c r="G1979" i="63"/>
  <c r="G1980" i="63"/>
  <c r="G1981" i="63"/>
  <c r="G1982" i="63"/>
  <c r="G1983" i="63"/>
  <c r="G1984" i="63"/>
  <c r="G1985" i="63"/>
  <c r="G1986" i="63"/>
  <c r="G1987" i="63"/>
  <c r="G1988" i="63"/>
  <c r="G1989" i="63"/>
  <c r="G1990" i="63"/>
  <c r="G1991" i="63"/>
  <c r="G1992" i="63"/>
  <c r="G1993" i="63"/>
  <c r="G1994" i="63"/>
  <c r="G1995" i="63"/>
  <c r="G1996" i="63"/>
  <c r="G1997" i="63"/>
  <c r="G1998" i="63"/>
  <c r="G1999" i="63"/>
  <c r="G2000" i="63"/>
  <c r="G2002" i="63"/>
  <c r="G2003" i="63"/>
  <c r="G2004" i="63"/>
  <c r="G2010" i="63"/>
  <c r="G2011" i="63"/>
  <c r="G2012" i="63"/>
  <c r="G2013" i="63"/>
  <c r="G2014" i="63"/>
  <c r="G2015" i="63"/>
  <c r="G2016" i="63"/>
  <c r="G2017" i="63"/>
  <c r="G2018" i="63"/>
  <c r="G2019" i="63"/>
  <c r="G2020" i="63"/>
  <c r="G2021" i="63"/>
  <c r="G2022" i="63"/>
  <c r="G2023" i="63"/>
  <c r="G2024" i="63"/>
  <c r="G2025" i="63"/>
  <c r="G2026" i="63"/>
  <c r="G2027" i="63"/>
  <c r="G2028" i="63"/>
  <c r="G2029" i="63"/>
  <c r="G2030" i="63"/>
  <c r="G2031" i="63"/>
  <c r="G2032" i="63"/>
  <c r="G2033" i="63"/>
  <c r="G2034" i="63"/>
  <c r="G2035" i="63"/>
  <c r="G2036" i="63"/>
  <c r="G2037" i="63"/>
  <c r="G2038" i="63"/>
  <c r="G2039" i="63"/>
  <c r="G2040" i="63"/>
  <c r="G2041" i="63"/>
  <c r="G2042" i="63"/>
  <c r="G2043" i="63"/>
  <c r="G2044" i="63"/>
  <c r="G2045" i="63"/>
  <c r="G2046" i="63"/>
  <c r="G2047" i="63"/>
  <c r="G2048" i="63"/>
  <c r="G2049" i="63"/>
  <c r="G2050" i="63"/>
  <c r="G2051" i="63"/>
  <c r="G2052" i="63"/>
  <c r="G2053" i="63"/>
  <c r="G2054" i="63"/>
  <c r="G2055" i="63"/>
  <c r="G2056" i="63"/>
  <c r="G2057" i="63"/>
  <c r="G2058" i="63"/>
  <c r="G2059" i="63"/>
  <c r="G2060" i="63"/>
  <c r="G2061" i="63"/>
  <c r="G2062" i="63"/>
  <c r="G2063" i="63"/>
  <c r="G2064" i="63"/>
  <c r="G2066" i="63"/>
  <c r="G2067" i="63"/>
  <c r="G2068" i="63"/>
  <c r="G2074" i="63"/>
  <c r="G2075" i="63"/>
  <c r="G2076" i="63"/>
  <c r="G2077" i="63"/>
  <c r="G2078" i="63"/>
  <c r="G2079" i="63"/>
  <c r="G2080" i="63"/>
  <c r="G2081" i="63"/>
  <c r="G2082" i="63"/>
  <c r="G2083" i="63"/>
  <c r="G2084" i="63"/>
  <c r="G2085" i="63"/>
  <c r="G2086" i="63"/>
  <c r="G2087" i="63"/>
  <c r="G2088" i="63"/>
  <c r="G2089" i="63"/>
  <c r="G2090" i="63"/>
  <c r="G2091" i="63"/>
  <c r="G2092" i="63"/>
  <c r="G2093" i="63"/>
  <c r="G2094" i="63"/>
  <c r="G2095" i="63"/>
  <c r="G2096" i="63"/>
  <c r="G2097" i="63"/>
  <c r="G2098" i="63"/>
  <c r="G2099" i="63"/>
  <c r="G2100" i="63"/>
  <c r="G2101" i="63"/>
  <c r="G2102" i="63"/>
  <c r="G2103" i="63"/>
  <c r="G2104" i="63"/>
  <c r="G2105" i="63"/>
  <c r="G2106" i="63"/>
  <c r="G2107" i="63"/>
  <c r="G2108" i="63"/>
  <c r="G2109" i="63"/>
  <c r="G2110" i="63"/>
  <c r="G2111" i="63"/>
  <c r="G2112" i="63"/>
  <c r="G2113" i="63"/>
  <c r="G2114" i="63"/>
  <c r="G2115" i="63"/>
  <c r="G2116" i="63"/>
  <c r="G2117" i="63"/>
  <c r="G2118" i="63"/>
  <c r="G2119" i="63"/>
  <c r="G2120" i="63"/>
  <c r="G2121" i="63"/>
  <c r="G2122" i="63"/>
  <c r="G2123" i="63"/>
  <c r="G2124" i="63"/>
  <c r="G2125" i="63"/>
  <c r="G2126" i="63"/>
  <c r="G2127" i="63"/>
  <c r="G2128" i="63"/>
  <c r="G2130" i="63"/>
  <c r="G2131" i="63"/>
  <c r="G2132" i="63"/>
  <c r="G2138" i="63"/>
  <c r="G2139" i="63"/>
  <c r="G2140" i="63"/>
  <c r="G2141" i="63"/>
  <c r="G2142" i="63"/>
  <c r="G2143" i="63"/>
  <c r="G2144" i="63"/>
  <c r="G2145" i="63"/>
  <c r="G2146" i="63"/>
  <c r="G2147" i="63"/>
  <c r="G2148" i="63"/>
  <c r="G2149" i="63"/>
  <c r="G2150" i="63"/>
  <c r="G2151" i="63"/>
  <c r="G2152" i="63"/>
  <c r="G2153" i="63"/>
  <c r="G2154" i="63"/>
  <c r="G2155" i="63"/>
  <c r="G2156" i="63"/>
  <c r="G2157" i="63"/>
  <c r="G2158" i="63"/>
  <c r="G2159" i="63"/>
  <c r="G2160" i="63"/>
  <c r="G2161" i="63"/>
  <c r="G2162" i="63"/>
  <c r="G2163" i="63"/>
  <c r="G2164" i="63"/>
  <c r="G2165" i="63"/>
  <c r="G2166" i="63"/>
  <c r="G2167" i="63"/>
  <c r="G2168" i="63"/>
  <c r="G2169" i="63"/>
  <c r="G2170" i="63"/>
  <c r="G2171" i="63"/>
  <c r="G2172" i="63"/>
  <c r="G2173" i="63"/>
  <c r="G2174" i="63"/>
  <c r="G2175" i="63"/>
  <c r="G2176" i="63"/>
  <c r="G2177" i="63"/>
  <c r="G2178" i="63"/>
  <c r="G2179" i="63"/>
  <c r="G2180" i="63"/>
  <c r="G2181" i="63"/>
  <c r="G2182" i="63"/>
  <c r="G2183" i="63"/>
  <c r="G2184" i="63"/>
  <c r="G2185" i="63"/>
  <c r="G2186" i="63"/>
  <c r="G2187" i="63"/>
  <c r="G2188" i="63"/>
  <c r="G2189" i="63"/>
  <c r="G2190" i="63"/>
  <c r="G2191" i="63"/>
  <c r="G2192" i="63"/>
  <c r="G2194" i="63"/>
  <c r="G2195" i="63"/>
  <c r="G2196" i="63"/>
  <c r="G2205" i="63"/>
  <c r="G2206" i="63"/>
  <c r="G2207" i="63"/>
  <c r="G2208" i="63"/>
  <c r="G2209" i="63"/>
  <c r="G2210" i="63"/>
  <c r="G2211" i="63"/>
  <c r="G2212" i="63"/>
  <c r="G2213" i="63"/>
  <c r="G2214" i="63"/>
  <c r="G2215" i="63"/>
  <c r="G2216" i="63"/>
  <c r="G2217" i="63"/>
  <c r="G2218" i="63"/>
  <c r="G2219" i="63"/>
  <c r="G2220" i="63"/>
  <c r="G2221" i="63"/>
  <c r="G2222" i="63"/>
  <c r="G2223" i="63"/>
  <c r="G2224" i="63"/>
  <c r="G2225" i="63"/>
  <c r="G2226" i="63"/>
  <c r="G2227" i="63"/>
  <c r="G2228" i="63"/>
  <c r="G2229" i="63"/>
  <c r="G2230" i="63"/>
  <c r="G2231" i="63"/>
  <c r="G2232" i="63"/>
  <c r="G2233" i="63"/>
  <c r="G2234" i="63"/>
  <c r="G2235" i="63"/>
  <c r="G2236" i="63"/>
  <c r="G2237" i="63"/>
  <c r="G2238" i="63"/>
  <c r="G2239" i="63"/>
  <c r="G2240" i="63"/>
  <c r="G2241" i="63"/>
  <c r="G2242" i="63"/>
  <c r="G2243" i="63"/>
  <c r="G2244" i="63"/>
  <c r="G2245" i="63"/>
  <c r="G2246" i="63"/>
  <c r="G2247" i="63"/>
  <c r="G2248" i="63"/>
  <c r="G2249" i="63"/>
  <c r="G2250" i="63"/>
  <c r="G2251" i="63"/>
  <c r="G2252" i="63"/>
  <c r="G2253" i="63"/>
  <c r="G2254" i="63"/>
  <c r="G2255" i="63"/>
  <c r="G2256" i="63"/>
  <c r="G2257" i="63"/>
  <c r="G2258" i="63"/>
  <c r="G2260" i="63"/>
  <c r="G2261" i="63"/>
  <c r="G2262" i="63"/>
  <c r="G2268" i="63"/>
  <c r="G2269" i="63"/>
  <c r="G2270" i="63"/>
  <c r="G2271" i="63"/>
  <c r="G2272" i="63"/>
  <c r="G2273" i="63"/>
  <c r="G2274" i="63"/>
  <c r="G2275" i="63"/>
  <c r="G2276" i="63"/>
  <c r="G2277" i="63"/>
  <c r="G2278" i="63"/>
  <c r="G2279" i="63"/>
  <c r="G2280" i="63"/>
  <c r="G2281" i="63"/>
  <c r="G2282" i="63"/>
  <c r="G2283" i="63"/>
  <c r="G2284" i="63"/>
  <c r="G2285" i="63"/>
  <c r="G2286" i="63"/>
  <c r="G2287" i="63"/>
  <c r="G2288" i="63"/>
  <c r="G2289" i="63"/>
  <c r="G2290" i="63"/>
  <c r="G2291" i="63"/>
  <c r="G2292" i="63"/>
  <c r="G2293" i="63"/>
  <c r="G2294" i="63"/>
  <c r="G2295" i="63"/>
  <c r="G2296" i="63"/>
  <c r="G2297" i="63"/>
  <c r="G2298" i="63"/>
  <c r="G2299" i="63"/>
  <c r="G2300" i="63"/>
  <c r="G2301" i="63"/>
  <c r="G2302" i="63"/>
  <c r="G2303" i="63"/>
  <c r="G2304" i="63"/>
  <c r="G2305" i="63"/>
  <c r="G2306" i="63"/>
  <c r="G2307" i="63"/>
  <c r="G2308" i="63"/>
  <c r="G2309" i="63"/>
  <c r="G2310" i="63"/>
  <c r="G2311" i="63"/>
  <c r="G2312" i="63"/>
  <c r="G2313" i="63"/>
  <c r="G2314" i="63"/>
  <c r="G2315" i="63"/>
  <c r="G2316" i="63"/>
  <c r="G2317" i="63"/>
  <c r="G2318" i="63"/>
  <c r="G2319" i="63"/>
  <c r="G2320" i="63"/>
  <c r="G2321" i="63"/>
  <c r="G2322" i="63"/>
  <c r="G2323" i="63"/>
  <c r="G2325" i="63"/>
  <c r="G2326" i="63"/>
  <c r="G2327" i="63"/>
  <c r="G2333" i="63"/>
  <c r="G2334" i="63"/>
  <c r="G2335" i="63"/>
  <c r="G2336" i="63"/>
  <c r="G2337" i="63"/>
  <c r="G2338" i="63"/>
  <c r="G2339" i="63"/>
  <c r="G2340" i="63"/>
  <c r="G2341" i="63"/>
  <c r="G2342" i="63"/>
  <c r="G2343" i="63"/>
  <c r="G2344" i="63"/>
  <c r="G2345" i="63"/>
  <c r="G2346" i="63"/>
  <c r="G2347" i="63"/>
  <c r="G2348" i="63"/>
  <c r="G2349" i="63"/>
  <c r="G2350" i="63"/>
  <c r="G2351" i="63"/>
  <c r="G2352" i="63"/>
  <c r="G2353" i="63"/>
  <c r="G2354" i="63"/>
  <c r="G2355" i="63"/>
  <c r="G2356" i="63"/>
  <c r="G2357" i="63"/>
  <c r="G2358" i="63"/>
  <c r="G2359" i="63"/>
  <c r="G2360" i="63"/>
  <c r="G2361" i="63"/>
  <c r="G2362" i="63"/>
  <c r="G2363" i="63"/>
  <c r="G2364" i="63"/>
  <c r="G2365" i="63"/>
  <c r="G2366" i="63"/>
  <c r="G2367" i="63"/>
  <c r="G2368" i="63"/>
  <c r="G2369" i="63"/>
  <c r="G2370" i="63"/>
  <c r="G2371" i="63"/>
  <c r="G2372" i="63"/>
  <c r="G2373" i="63"/>
  <c r="G2374" i="63"/>
  <c r="G2375" i="63"/>
  <c r="G2376" i="63"/>
  <c r="G2377" i="63"/>
  <c r="G2378" i="63"/>
  <c r="G2379" i="63"/>
  <c r="G2380" i="63"/>
  <c r="G2381" i="63"/>
  <c r="G2382" i="63"/>
  <c r="G2383" i="63"/>
  <c r="G2384" i="63"/>
  <c r="G2385" i="63"/>
  <c r="G2386" i="63"/>
  <c r="G2387" i="63"/>
  <c r="G2389" i="63"/>
  <c r="G2390" i="63"/>
  <c r="G2391" i="63"/>
  <c r="G2397" i="63"/>
  <c r="G2398" i="63"/>
  <c r="G2399" i="63"/>
  <c r="G2400" i="63"/>
  <c r="G2401" i="63"/>
  <c r="G2402" i="63"/>
  <c r="G2403" i="63"/>
  <c r="G2404" i="63"/>
  <c r="G2405" i="63"/>
  <c r="G2406" i="63"/>
  <c r="G2407" i="63"/>
  <c r="G2408" i="63"/>
  <c r="G2409" i="63"/>
  <c r="G2410" i="63"/>
  <c r="G2411" i="63"/>
  <c r="G2412" i="63"/>
  <c r="G2413" i="63"/>
  <c r="G2414" i="63"/>
  <c r="G2415" i="63"/>
  <c r="G2416" i="63"/>
  <c r="G2417" i="63"/>
  <c r="G2418" i="63"/>
  <c r="G2419" i="63"/>
  <c r="G2420" i="63"/>
  <c r="G2421" i="63"/>
  <c r="G2422" i="63"/>
  <c r="G2423" i="63"/>
  <c r="G2425" i="63"/>
  <c r="G2426" i="63"/>
  <c r="G2427" i="63"/>
  <c r="G2428" i="63"/>
  <c r="G2429" i="63"/>
  <c r="G2430" i="63"/>
  <c r="G2431" i="63"/>
  <c r="G2432" i="63"/>
  <c r="G2433" i="63"/>
  <c r="G2434" i="63"/>
  <c r="G2435" i="63"/>
  <c r="G2436" i="63"/>
  <c r="G2437" i="63"/>
  <c r="G2438" i="63"/>
  <c r="G2439" i="63"/>
  <c r="G2440" i="63"/>
  <c r="G2441" i="63"/>
  <c r="G2442" i="63"/>
  <c r="G2443" i="63"/>
  <c r="G2444" i="63"/>
  <c r="G2445" i="63"/>
  <c r="G2446" i="63"/>
  <c r="G2447" i="63"/>
  <c r="G2448" i="63"/>
  <c r="G2470" i="63"/>
  <c r="G2471" i="63"/>
  <c r="G2472" i="63"/>
  <c r="G2473" i="63"/>
  <c r="G2474" i="63"/>
  <c r="G2475" i="63"/>
  <c r="G2476" i="63"/>
  <c r="G2477" i="63"/>
  <c r="G2478" i="63"/>
  <c r="G2479" i="63"/>
  <c r="G2480" i="63"/>
  <c r="G2481" i="63"/>
  <c r="G2482" i="63"/>
  <c r="G2483" i="63"/>
  <c r="G2484" i="63"/>
  <c r="G2485" i="63"/>
  <c r="G2486" i="63"/>
  <c r="G2487" i="63"/>
  <c r="G2488" i="63"/>
  <c r="G2489" i="63"/>
  <c r="G2490" i="63"/>
  <c r="G2491" i="63"/>
  <c r="G2492" i="63"/>
  <c r="G2493" i="63"/>
  <c r="G2494" i="63"/>
  <c r="G2495" i="63"/>
  <c r="G2496" i="63"/>
  <c r="G2497" i="63"/>
  <c r="G2498" i="63"/>
  <c r="G2499" i="63"/>
  <c r="G2500" i="63"/>
  <c r="G2501" i="63"/>
  <c r="G2502" i="63"/>
  <c r="G2503" i="63"/>
  <c r="G2504" i="63"/>
  <c r="G2505" i="63"/>
  <c r="G2506" i="63"/>
  <c r="G2507" i="63"/>
  <c r="G2508" i="63"/>
  <c r="G2509" i="63"/>
  <c r="G2510" i="63"/>
  <c r="G2511" i="63"/>
  <c r="G2512" i="63"/>
  <c r="G2513" i="63"/>
  <c r="G2514" i="63"/>
  <c r="G2515" i="63"/>
  <c r="G2516" i="63"/>
  <c r="G2517" i="63"/>
  <c r="G2518" i="63"/>
  <c r="G2519" i="63"/>
  <c r="G2520" i="63"/>
  <c r="G2521" i="63"/>
  <c r="G2539" i="63"/>
  <c r="G2540" i="63"/>
  <c r="G2541" i="63"/>
  <c r="G2542" i="63"/>
  <c r="G2543" i="63"/>
  <c r="G2544" i="63"/>
  <c r="G2545" i="63"/>
  <c r="G2546" i="63"/>
  <c r="G2547" i="63"/>
  <c r="G2548" i="63"/>
  <c r="G2549" i="63"/>
  <c r="G2550" i="63"/>
  <c r="G2551" i="63"/>
  <c r="G2552" i="63"/>
  <c r="G2553" i="63"/>
  <c r="G2554" i="63"/>
  <c r="G2555" i="63"/>
  <c r="G2556" i="63"/>
  <c r="G2557" i="63"/>
  <c r="G2558" i="63"/>
  <c r="G2559" i="63"/>
  <c r="G2560" i="63"/>
  <c r="G2561" i="63"/>
  <c r="G2562" i="63"/>
  <c r="G2563" i="63"/>
  <c r="G2564" i="63"/>
  <c r="G2565" i="63"/>
  <c r="G2566" i="63"/>
  <c r="G2591" i="63"/>
  <c r="G2587" i="63"/>
  <c r="G2588" i="63"/>
  <c r="G2589" i="63"/>
  <c r="G2590" i="63"/>
  <c r="G2592" i="63"/>
  <c r="G2593" i="63"/>
  <c r="G2594" i="63"/>
  <c r="G2595" i="63"/>
  <c r="G2596" i="63"/>
  <c r="G2597" i="63"/>
  <c r="G2598" i="63"/>
  <c r="G2599" i="63"/>
  <c r="G2600" i="63"/>
  <c r="G2601" i="63"/>
  <c r="G2602" i="63"/>
  <c r="G2603" i="63"/>
  <c r="G2604" i="63"/>
  <c r="G2605" i="63"/>
  <c r="G2606" i="63"/>
  <c r="G2607" i="63"/>
  <c r="G2608" i="63"/>
  <c r="G2609" i="63"/>
  <c r="G2610" i="63"/>
  <c r="G2611" i="63"/>
  <c r="G2612" i="63"/>
  <c r="G2613" i="63"/>
  <c r="G2614" i="63"/>
  <c r="G2615" i="63"/>
  <c r="G2616" i="63"/>
  <c r="G2617" i="63"/>
  <c r="G2618" i="63"/>
  <c r="G2619" i="63"/>
  <c r="G2620" i="63"/>
  <c r="G2621" i="63"/>
  <c r="G2622" i="63"/>
  <c r="G2623" i="63"/>
  <c r="G2624" i="63"/>
  <c r="G2625" i="63"/>
  <c r="G2626" i="63"/>
  <c r="G2627" i="63"/>
  <c r="G2628" i="63"/>
  <c r="G2629" i="63"/>
  <c r="G2630" i="63"/>
  <c r="G2631" i="63"/>
  <c r="G2632" i="63"/>
  <c r="G2633" i="63"/>
  <c r="G2634" i="63"/>
  <c r="G2635" i="63"/>
  <c r="G2636" i="63"/>
  <c r="G2637" i="63"/>
  <c r="G2638" i="63"/>
  <c r="G2639" i="63"/>
  <c r="G2640" i="63"/>
  <c r="G2657" i="63"/>
  <c r="G2658" i="63"/>
  <c r="G2659" i="63"/>
  <c r="G2660" i="63"/>
  <c r="G2661" i="63"/>
  <c r="G2662" i="63"/>
  <c r="G2663" i="63"/>
  <c r="G2664" i="63"/>
  <c r="G2665" i="63"/>
  <c r="G2666" i="63"/>
  <c r="G2667" i="63"/>
  <c r="G2668" i="63"/>
  <c r="G2669" i="63"/>
  <c r="G2670" i="63"/>
  <c r="G2671" i="63"/>
  <c r="G2672" i="63"/>
  <c r="G2673" i="63"/>
  <c r="G2674" i="63"/>
  <c r="G2675" i="63"/>
  <c r="G2676" i="63"/>
  <c r="G2677" i="63"/>
  <c r="G2678" i="63"/>
  <c r="G2679" i="63"/>
  <c r="G2680" i="63"/>
  <c r="G2681" i="63"/>
  <c r="G2682" i="63"/>
  <c r="G2683" i="63"/>
  <c r="G2684" i="63"/>
  <c r="G2685" i="63"/>
  <c r="G2706" i="63"/>
  <c r="G2707" i="63"/>
  <c r="G2708" i="63"/>
  <c r="G2709" i="63"/>
  <c r="G2710" i="63"/>
  <c r="G2711" i="63"/>
  <c r="G2712" i="63"/>
  <c r="G2713" i="63"/>
  <c r="G2714" i="63"/>
  <c r="G2715" i="63"/>
  <c r="G2716" i="63"/>
  <c r="G2717" i="63"/>
  <c r="G2718" i="63"/>
  <c r="G2719" i="63"/>
  <c r="G2720" i="63"/>
  <c r="G2721" i="63"/>
  <c r="G2722" i="63"/>
  <c r="G2723" i="63"/>
  <c r="G2724" i="63"/>
  <c r="G2725" i="63"/>
  <c r="G2726" i="63"/>
  <c r="G2727" i="63"/>
  <c r="G2728" i="63"/>
  <c r="G2729" i="63"/>
  <c r="G2730" i="63"/>
  <c r="G2731" i="63"/>
  <c r="G2732" i="63"/>
  <c r="G2733" i="63"/>
  <c r="G2734" i="63"/>
  <c r="G2735" i="63"/>
  <c r="G2736" i="63"/>
  <c r="G2737" i="63"/>
  <c r="G2738" i="63"/>
  <c r="G2739" i="63"/>
  <c r="G2740" i="63"/>
  <c r="G2741" i="63"/>
  <c r="G2742" i="63"/>
  <c r="G2743" i="63"/>
  <c r="G2744" i="63"/>
  <c r="G2745" i="63"/>
  <c r="G2746" i="63"/>
  <c r="G2747" i="63"/>
  <c r="G2748" i="63"/>
  <c r="G2749" i="63"/>
  <c r="G2750" i="63"/>
  <c r="G2751" i="63"/>
  <c r="G2752" i="63"/>
  <c r="G2753" i="63"/>
  <c r="G2754" i="63"/>
  <c r="G2755" i="63"/>
  <c r="G2756" i="63"/>
  <c r="G2757" i="63"/>
  <c r="G2758" i="63"/>
  <c r="G2774" i="63"/>
  <c r="G2775" i="63"/>
  <c r="G2776" i="63"/>
  <c r="G2777" i="63"/>
  <c r="G2778" i="63"/>
  <c r="G2779" i="63"/>
  <c r="G2780" i="63"/>
  <c r="G2781" i="63"/>
  <c r="G2782" i="63"/>
  <c r="G2783" i="63"/>
  <c r="G2784" i="63"/>
  <c r="G2785" i="63"/>
  <c r="G2786" i="63"/>
  <c r="G2787" i="63"/>
  <c r="G2788" i="63"/>
  <c r="G2789" i="63"/>
  <c r="G2790" i="63"/>
  <c r="G2791" i="63"/>
  <c r="G2792" i="63"/>
  <c r="G2793" i="63"/>
  <c r="G2794" i="63"/>
  <c r="G2795" i="63"/>
  <c r="G2796" i="63"/>
  <c r="G2797" i="63"/>
  <c r="G2798" i="63"/>
  <c r="G2799" i="63"/>
  <c r="G2800" i="63"/>
  <c r="G2801" i="63"/>
  <c r="G2802" i="63"/>
  <c r="G2803" i="63"/>
  <c r="G615" i="67"/>
  <c r="E1242" i="63"/>
  <c r="G1242" i="63" s="1"/>
  <c r="E1871" i="63"/>
  <c r="G1871" i="63" s="1"/>
  <c r="G22" i="67"/>
  <c r="G1438" i="63"/>
  <c r="G1460" i="63"/>
  <c r="G1461" i="63"/>
  <c r="G1392" i="63"/>
  <c r="G1393" i="63"/>
  <c r="G1397" i="63"/>
  <c r="G1406" i="63"/>
  <c r="G987" i="63"/>
  <c r="G1766" i="63"/>
  <c r="G1824" i="63"/>
  <c r="E1765" i="63"/>
  <c r="E1748" i="63"/>
  <c r="E1747" i="63"/>
  <c r="E1816" i="63"/>
  <c r="G1814" i="63"/>
  <c r="G1812" i="63"/>
  <c r="E1760" i="63"/>
  <c r="G1749" i="63"/>
  <c r="G1750" i="63"/>
  <c r="G1751" i="63"/>
  <c r="G1797" i="63"/>
  <c r="G1798" i="63"/>
  <c r="G1799" i="63"/>
  <c r="G1823" i="63"/>
  <c r="G1827" i="63"/>
  <c r="G1829" i="63"/>
  <c r="G1830" i="63"/>
  <c r="G1832" i="63"/>
  <c r="E1815" i="63"/>
  <c r="G1756" i="63"/>
  <c r="G1755" i="63"/>
  <c r="G1752" i="63"/>
  <c r="G1834" i="63"/>
  <c r="G1811" i="63"/>
  <c r="G1794" i="63"/>
  <c r="G1790" i="63"/>
  <c r="G1784" i="63"/>
  <c r="G1785" i="63"/>
  <c r="G1746" i="63"/>
  <c r="G1745" i="63"/>
  <c r="G1465" i="63" l="1"/>
  <c r="G1468" i="63" s="1"/>
  <c r="G2687" i="63"/>
  <c r="G2690" i="63" s="1"/>
  <c r="G32" i="63"/>
  <c r="E12" i="65" s="1"/>
  <c r="G2450" i="63"/>
  <c r="G2264" i="63"/>
  <c r="G2134" i="63"/>
  <c r="G544" i="63"/>
  <c r="G547" i="63" s="1"/>
  <c r="G895" i="63"/>
  <c r="G898" i="63" s="1"/>
  <c r="G2198" i="63"/>
  <c r="G1874" i="63"/>
  <c r="G1877" i="63" s="1"/>
  <c r="G207" i="63"/>
  <c r="G210" i="63" s="1"/>
  <c r="G2329" i="63"/>
  <c r="G1301" i="63"/>
  <c r="G1304" i="63" s="1"/>
  <c r="G379" i="63"/>
  <c r="G382" i="63" s="1"/>
  <c r="G18" i="63"/>
  <c r="E10" i="65" s="1"/>
  <c r="G1221" i="63"/>
  <c r="G1224" i="63" s="1"/>
  <c r="G1141" i="63"/>
  <c r="G1144" i="63" s="1"/>
  <c r="G1383" i="63"/>
  <c r="G1386" i="63" s="1"/>
  <c r="G2070" i="63"/>
  <c r="G1059" i="63"/>
  <c r="G1062" i="63" s="1"/>
  <c r="G2393" i="63"/>
  <c r="G2006" i="63"/>
  <c r="G463" i="63"/>
  <c r="G466" i="63" s="1"/>
  <c r="G978" i="63"/>
  <c r="G981" i="63" s="1"/>
  <c r="G1942" i="63"/>
  <c r="G2568" i="63"/>
  <c r="G2571" i="63" s="1"/>
  <c r="G2805" i="63"/>
  <c r="G2808" i="63" s="1"/>
  <c r="G296" i="63" l="1"/>
  <c r="G299" i="63" s="1"/>
  <c r="G634" i="63"/>
  <c r="G637" i="63" s="1"/>
  <c r="G1553" i="63"/>
  <c r="G1556" i="63" s="1"/>
  <c r="G123" i="63"/>
  <c r="G126" i="63" s="1"/>
  <c r="E16" i="65"/>
  <c r="G724" i="63" l="1"/>
  <c r="G727" i="63" s="1"/>
  <c r="G1643" i="63"/>
  <c r="G1646" i="63" s="1"/>
  <c r="G1732" i="63" s="1"/>
  <c r="G1735" i="63" s="1"/>
  <c r="G813" i="63" l="1"/>
  <c r="G816" i="63" s="1"/>
  <c r="E14" i="65" s="1"/>
  <c r="D18" i="65" s="1"/>
</calcChain>
</file>

<file path=xl/sharedStrings.xml><?xml version="1.0" encoding="utf-8"?>
<sst xmlns="http://schemas.openxmlformats.org/spreadsheetml/2006/main" count="7561" uniqueCount="2706">
  <si>
    <t xml:space="preserve">RESUMO PROPOSTA DE PREÇO </t>
  </si>
  <si>
    <t>EMPREITADA GERAL</t>
  </si>
  <si>
    <t>Cliente :</t>
  </si>
  <si>
    <t>HOTEL MUNDIAL - LISBOA</t>
  </si>
  <si>
    <t>Local :</t>
  </si>
  <si>
    <t>LISBOA</t>
  </si>
  <si>
    <t>CAP.</t>
  </si>
  <si>
    <t>DESIGNAÇÃO</t>
  </si>
  <si>
    <t>TOTAL CAP.</t>
  </si>
  <si>
    <t>A</t>
  </si>
  <si>
    <t>ESTALEIRO</t>
  </si>
  <si>
    <t>B</t>
  </si>
  <si>
    <t>ARQUITETURA</t>
  </si>
  <si>
    <t>C</t>
  </si>
  <si>
    <r>
      <t xml:space="preserve">VALOR TOTAL </t>
    </r>
    <r>
      <rPr>
        <sz val="10"/>
        <rFont val="Humanist777BT"/>
      </rPr>
      <t>(Euros s/ IVA)</t>
    </r>
  </si>
  <si>
    <t>PROPOSTA DE PREÇO</t>
  </si>
  <si>
    <t>HOTEL MUNDIAL - LISBOA - EMPREITADA DE REMODELAÇÃO HOTEL</t>
  </si>
  <si>
    <t>UN</t>
  </si>
  <si>
    <t>QUANT.</t>
  </si>
  <si>
    <t>NOTAS</t>
  </si>
  <si>
    <t>PREÇO UNIT.</t>
  </si>
  <si>
    <t>TOTAL</t>
  </si>
  <si>
    <t xml:space="preserve">Nota 1 </t>
  </si>
  <si>
    <t>É indispensável a visita ao local da obra de modo a efectuar-se a verificação dos trabalhos de demolição, reparação e conservação a executar, bem como a verificação do estado dos materiais existentes.</t>
  </si>
  <si>
    <t>Nota 2</t>
  </si>
  <si>
    <t>Todos os artigos incluem quando necessário, montagem e desmontagem de meios auxiliares para execução dos trabalhos, o fornecimento e assentamento de todos os acessórios e trabalhos complementares, conforme peças escritas e desenhadas do projecto e respectivo caderno de encargos. Assim, este documento deverá obrigatoriamente ser lido em conjunto com o caderno de encargos e restantes peças escritas e desenhadas do projecto, não constituindo portanto, uma descrição exaustiva das condições em que os trabalhos e fornecimentos deverão ser executados.</t>
  </si>
  <si>
    <t>Nota 3</t>
  </si>
  <si>
    <t>As redes de infra-estruturas existentes onde não se prevê intervenção, devem ser salvaguardadas durante a execução dos trabalhos. Cabe ao Empreiteiro a verificação da realidade existente e a compatibilização com as peças disponibilizadas, incluindo todos os remates e colmatações necessárias.</t>
  </si>
  <si>
    <t>Nota 4</t>
  </si>
  <si>
    <t>As medições abaixo apresentadas têm como base as peças desenhadas pelo que todas as dimensões deverão ser verificadas no local.</t>
  </si>
  <si>
    <t>Nota 5</t>
  </si>
  <si>
    <t>Este documento deverá analisado em conjunto com o projeto de interior design e restantes peças escritas e desenhadas disponibilizadas.</t>
  </si>
  <si>
    <t>1.1</t>
  </si>
  <si>
    <t>Estaleiro</t>
  </si>
  <si>
    <t>1.1.1</t>
  </si>
  <si>
    <t xml:space="preserve">MONTAGEM, MANUTENÇÃO E DESMONTAGEM DO ESTALEIRO </t>
  </si>
  <si>
    <t>1.1.1.1</t>
  </si>
  <si>
    <t>Montagem, desmontagem, e manutenção do estaleiro, criar instalações para o pessoal, serviço de portaria, equipamentos e materiais a empregar em obra, montagem de vedação provisória no parque de estacionamento, montagem de parede de gesso cartonado com pintura branca a vedar cada corredor de acesso aos quartos de hotel, a fim de garantir a segurança de pessoas e evitar ruido e poluição visual desnecessários durante o decorrer dos trabalhos, implementação de Plano de Segurança e Saúde de acordo com o equipamento e métodos construtivos a utilizar na Obra, incluindo a nomeação do(s) Técnico(s) responsável(eis) pela segurança da obra. Este item deve incluir ainda o controle de acessos de pessoas e bens para a Obra, assim como todos os meios de elevação associados aos trabalhos do Empreiteiro designados no contrato do mesmo.</t>
  </si>
  <si>
    <t>vg</t>
  </si>
  <si>
    <t>1.2</t>
  </si>
  <si>
    <t>Segurança</t>
  </si>
  <si>
    <t>1.2.1</t>
  </si>
  <si>
    <t>Implementação e cumprimento do plano de segurança e saúde de acordo com a respectiva legislação em vigor, tendo em conta: definição do projecto e condições de envolvência (programação da obra, coordenação da segurança em obra, entre outros); análise de riscos e medidas preventivas (trabalhos em obra e seus elementos de apoio, gestão de segurança e saúde no estaleiro, processos construtivos, plano de trabalhos e gestão e organização do estaleiro). Incluindo nomeação e presença assidua de um técnico de segurança, elaboração de todos os procedimentos administrativos por parte do Empreiteiro, desde a abertura de estaleiro à compilação técnica do final da obra, taxas e afins e tudo o mais necessário. Inclui o fornecimento de todas as placas de identificação pública, sinais e avisos, meios de proteção coletiva e individual, equipamentos e serviços necessários ao cumprimento da legislação em vigor, incluindo o serviço de portaria para controlo de acessos.</t>
  </si>
  <si>
    <t>1.3</t>
  </si>
  <si>
    <t>Ambiente</t>
  </si>
  <si>
    <t>1.3.1</t>
  </si>
  <si>
    <t>Implementação e cumprimento do plano de prevenção e gestão de resíduos de construção e demolição sólidos de acordo com a respectiva legislação em vigor tendo em conta: caracterização da obra, incorporação de reciclados, prevenção de resíduos, acondicionamento e triagem, produção de resíduos de construção e demolição.</t>
  </si>
  <si>
    <t>1.4</t>
  </si>
  <si>
    <t>Trabalhos Diversos</t>
  </si>
  <si>
    <t>1.4.1</t>
  </si>
  <si>
    <t>Fornecimento e instalação de mestragem de chaves por grupos, considerando grande mestra e sub-mestras, conforme plano de mestragem a definir pela Fiscalização.</t>
  </si>
  <si>
    <t>1.4.2</t>
  </si>
  <si>
    <t>Execução da limpeza final de toda a obra, por empresa da especialidade. Inclui lavagem e desinfecção de zonas húmidas, lavagem de todas as zonas de acabamento pétreo, cerâmico ou madeira, aspiração e limpeza de pó em geral, incluindo produtos adequados e todos os trabalhos preparatórios ou complementares. Execução de pré-limpezas e limpeza final de toda a obra, de modo a permitir a imediata utilização do espaço, incluindo limpeza de revestimentos de pavimentos, paredes e tectos, bem como de todos os vãos e restantes componentes da obra. Incluindo a remoção e transporte dos produtos resultantes a vazadouro do adjudicatário, nas várias fases da obra.</t>
  </si>
  <si>
    <t>1.4.3</t>
  </si>
  <si>
    <t>Elaboração e entrega da Compilação Técnica de toda a empreitada, bem como desenvolvimento e organização do processo administrativo necessário à transferência da obra para o Dono de Obra, em lingua portuguesa (1 cópia em papel organizada por dossiers A4 e um suporte informático - DWG e PDF), nomeadamente Fichas técnicas, Manuais de Equipamentos, Manuais de Manutenção, Telas Finais de arquitectura e engenharias e documentos associados a todas as especialidade e respectivos materiais e equipamentos que compõe a empreitada, conforme Caderno de Encargos.</t>
  </si>
  <si>
    <t>APOIO CONSTRUÇÃO CIVIL</t>
  </si>
  <si>
    <t>Fornecimento de apoio de construção civil à em empreitada das diversas especialidades. Incluindo abertura e tapamento de roços e furações, fixação de caixas de aparelhagem, aberturas em tetos falsos. caixas de visita completas, tubagem enterrada e abertura e tapamento de valas, etc. 
Inclui a ligação às redes, ensaios, vistorias e respetivos certificados e/ou documentos oficiais necessários ao pedido de licença de utilização e de ramais / contadores e/ou celebração de contratos de manutenção</t>
  </si>
  <si>
    <t>Fornecimento de apoio de construção civil à empreitada de Requalificação dos vãos exteriores (caixilharia)</t>
  </si>
  <si>
    <t>Fornecimento de apoio à empreitada de Interior Design, a executar após a instalação dos elementos de mobiliário, iluminação ou outros, nomeadamente remates, silicones, pinturas, etc. Incluem-se todos os acessórios e trabalhos complementares necessários a um adequado acabamento, conforme projeto de interior design e fiscalização</t>
  </si>
  <si>
    <t>QUARTO MODELO A Nº618</t>
  </si>
  <si>
    <t>Todos os trabalhos de demolições apresentados nas peças desenhadas e não apresentados/quantificados neste MQT de demolições, não poderão ser considerados como erros ou omissões.</t>
  </si>
  <si>
    <t>3.1.1</t>
  </si>
  <si>
    <t>Demolições</t>
  </si>
  <si>
    <t>3.1.1.1</t>
  </si>
  <si>
    <t>Execução de todos os trabalhos de Demolição de Elementos Pré-existentes, nos quais se inclui tectos, revestimentos de pavimento, revestimentos de parede, todas as louças sanitárias, portas e outros elementos existentes, bem como a Limpeza e Remoção de Entulho para vazadouro autorizado, conforme peças desenhadas, caderno de encargos, instruções a solicitar aos fabricantes e supervisão da fiscalização de obra. Incluindo estrutura de suporte de infraestruturas em barrotes de madeira, existente entre o teto falso e o teto real (Ala 1 e Ala 2), assim como o ajuste das infraestruturas existentes de forma a garantir a execução do projeto, o bom estado das instalações a manter e o correto funcionamento dos sistemas, redes equipamentos. Considera-se incluído no presente artigo o plano de gestão de resíduos, de acordo com normativa. NOTA: A SEGUINTE LISTAGEM NÃO DISPENSA A VERIFICAÇÃO EM OBRA DE TODOS OS ELEMENTOS A REMOVER. A demolição prevista no presente artigo deverá garantir que o espaço destinado à obra fique em tosco, assegurando a execução do projecto de Interior Design e Arquitectura, assim como de todas as engenharias.</t>
  </si>
  <si>
    <t>3.1.2</t>
  </si>
  <si>
    <t>Instalações existentes</t>
  </si>
  <si>
    <t>3.1.2.1</t>
  </si>
  <si>
    <t>Desmontagem dos equipamentos eléctricos no interior do quarto, como tomadas, interruptores e luminárias, incluindo a limpeza e  transporte para vazadouro autorizado dos elementos desmontados.</t>
  </si>
  <si>
    <t>3.1.2.2</t>
  </si>
  <si>
    <t>Desmontagem e desactivação de equipamentos eléctricos no interior do quarto, incluindo isolamento e desactivação de ligações a anular, como chamada de emergência, economizador de cartão e sistema de som do WC,, incluindo a limpeza e  transporte para vazadouro autorizado dos elementos desmontados.</t>
  </si>
  <si>
    <t>3.1.3</t>
  </si>
  <si>
    <t>Pavimentos</t>
  </si>
  <si>
    <t>3.1.3.1</t>
  </si>
  <si>
    <t>Fornecimento e aplicação de pavimento flutuante vinílico Jular, Refª V109 PJRSVINYL7572 HB, com uma camada superficial de desgaste 0,55 mm + Ceramic Coating, com tela incorporada EVA-C 1mm, de encaixe Click (Thight - Lock). Dimensões – 615 x 123 x 5mm, assentados a 45º. (Conforme projeto de Interior Design. A confirmar com amostra no local), em base devidamente preparada e nivelada, de acordo com o preconizado nas peças desenhadas e escritas de projeto e conforme indicações do fabricante, incluindo todos os trabalhos necessários ao seu perfeito acabamento. 
 (Quarto + Hall)</t>
  </si>
  <si>
    <t>m2</t>
  </si>
  <si>
    <t>3.1.3.2</t>
  </si>
  <si>
    <r>
      <t xml:space="preserve">Fornecimento e aplicação de impermeabilização do pavimento da instalação sanitária com tela tipo  MAPELASTIC com fibra de vidro, incluindo dobra de 30cm na parede, incluindo todos os trabalhos necessários para perfeito acabamento, de acordo com o preconizado nas peças desenhadas e escritas de projeto. </t>
    </r>
    <r>
      <rPr>
        <b/>
        <sz val="10"/>
        <rFont val="Calibri"/>
        <family val="2"/>
      </rPr>
      <t xml:space="preserve">Nota: Considerada subida das paredes do chuveiro até 2,0m de altura. </t>
    </r>
    <r>
      <rPr>
        <sz val="10"/>
        <rFont val="Calibri"/>
        <family val="2"/>
      </rPr>
      <t>(Instalação Sanitária)</t>
    </r>
  </si>
  <si>
    <t>3.1.3.3</t>
  </si>
  <si>
    <t>Trabalhos de regularização de pavimentos com recurso a auto-nivelante adequado na preparação das bases para assentamento dos revestimentos de pavimento previstos em projeto de Interior Design, incluindo todos os trabalhos necessários à sua perfeita execução, de acordo com o preconizado nas peças desenhadas e escritas de projeto. 
(Instalação sanitária e Quarto)</t>
  </si>
  <si>
    <t>3.1.3.4</t>
  </si>
  <si>
    <t>Fornecimento e aplicação de cerâmico Recer Mastery, Refª PPR6012MST801 com 120x60cm (Conforme projeto de Interior Design. A confirmar com amostra no local), na instalação sanitária, sem juntas de assentamento, com cimento cola adequado indicado pelo fornecedor, com juntas de acordo com o fabricante, de acordo com o preconizado nas peças desenhadas e escritas de projeto, incluindo betumação, regularização, entre outros trabalhos necessários a um perfeito acabamento. 
(Instalação Sanitária)</t>
  </si>
  <si>
    <t>3.1.3.5</t>
  </si>
  <si>
    <t>Fornecimento e assentamento de perfil de transição de pavimentos em aço inoxidável V2A, tipo "Schlüter-RENO-TK", incluindo fixação e todos os trabalhos preparatórios, acessórios e complementares, necessários a um perfeito acabamento, conforme preconizado nas peças desenhadas e escritas de projeto. 
(Quarto)</t>
  </si>
  <si>
    <t>ml</t>
  </si>
  <si>
    <t>3.1.3.6</t>
  </si>
  <si>
    <t>Fornecimento e colocação de Rodapé em MDF com classe de resistência ao fogo A1, com 12mm de espessura, lacado à cor NCS S 2010-G30Y (verde claro)
(Quarto)</t>
  </si>
  <si>
    <t>3.1.2.7</t>
  </si>
  <si>
    <t>Fornecimento e colocação de Rodapé em MDF com classe de resistência ao fogo A1, com 12mm de espessura, lacado à cor RAL 6009 (verde escuro)
(Hall)</t>
  </si>
  <si>
    <t>3.1.3.8</t>
  </si>
  <si>
    <r>
      <rPr>
        <sz val="10"/>
        <color rgb="FF000000"/>
        <rFont val="Calibri"/>
        <family val="2"/>
      </rPr>
      <t xml:space="preserve">Fornecimento e assentamento de soleira em pedra Mármore Estremoz Claro, com acabamento </t>
    </r>
    <r>
      <rPr>
        <sz val="10"/>
        <rFont val="Calibri"/>
        <family val="2"/>
      </rPr>
      <t>amaciado</t>
    </r>
    <r>
      <rPr>
        <sz val="10"/>
        <color rgb="FFFF0000"/>
        <rFont val="Calibri"/>
        <family val="2"/>
      </rPr>
      <t xml:space="preserve"> </t>
    </r>
    <r>
      <rPr>
        <sz val="10"/>
        <color rgb="FF000000"/>
        <rFont val="Calibri"/>
        <family val="2"/>
      </rPr>
      <t xml:space="preserve">e arestas boleadas, nas portas de entrada no quarto, com espessura de </t>
    </r>
    <r>
      <rPr>
        <sz val="10"/>
        <color theme="1"/>
        <rFont val="Calibri"/>
        <family val="2"/>
      </rPr>
      <t>2cm</t>
    </r>
    <r>
      <rPr>
        <sz val="10"/>
        <color rgb="FF000000"/>
        <rFont val="Calibri"/>
        <family val="2"/>
      </rPr>
      <t>. Dimensões conforme projeto e dimensões existentes no local (comprimento</t>
    </r>
    <r>
      <rPr>
        <sz val="10"/>
        <rFont val="Calibri"/>
        <family val="2"/>
      </rPr>
      <t xml:space="preserve"> 0,90m</t>
    </r>
    <r>
      <rPr>
        <sz val="10"/>
        <color rgb="FFFF0000"/>
        <rFont val="Calibri"/>
        <family val="2"/>
      </rPr>
      <t xml:space="preserve"> </t>
    </r>
    <r>
      <rPr>
        <sz val="10"/>
        <color rgb="FF000000"/>
        <rFont val="Calibri"/>
        <family val="2"/>
      </rPr>
      <t>x largura variável com um mínimo de 0,135m). Inclui rasgo para acomodar dilatação do pavimento do interior do quarto, conforme indicações do fabricante. Incluindo a remoção parcial da betonilha existente para reduzir a cota e  conseguir um melhor nivelamento da entrada e adequada preparação da superficie. 
(entrada do quarto)</t>
    </r>
  </si>
  <si>
    <t>Un.</t>
  </si>
  <si>
    <t>3.1.4</t>
  </si>
  <si>
    <t>Paredes</t>
  </si>
  <si>
    <t>3.1.4.1</t>
  </si>
  <si>
    <t>Fornecimento e aplicação de parede divisória em placa cimentícia tipo aquapanel ou equivalente, incluindo estrutura resistente adequada e restantes trabalhos, de acordo com o preconizado nas peças desenhadas e escritas de projeto, na realização de separação de parede entre duche e lavatório. (Instalação Sanitária)</t>
  </si>
  <si>
    <t>3.1.4.2</t>
  </si>
  <si>
    <t>Fornecimento e assentamento de alvenaria interior simples de tijolo cerâmico furado de 30x20x07cm, assente com argamassa de cimento e areia ao traço 1:4, incluindo todos os trabalhos e acessórios necessários á sua perfeita execução para colocação da estrutura da sanita, de acordo com o preconizado nas peças desenhadas e escritas de projeto. (Instalação Sanitária)</t>
  </si>
  <si>
    <t>3.1.4.3</t>
  </si>
  <si>
    <t>Fornecimento e aplicação de forra em gesso laminado, tendo na sua composição a colocação de uma placa de gesso cartonado com reação ao fogo categoria A1 sobre um perfil omega e isolamento em lã mineral com 30mm, com afastamento necessário para passagem de todas as infraestruturas de instalações elétricas e telecomunicações. De acordo com o preconizado nas peças desenhadas e escritas de projeto, incluindo colas e regularização entre outros trabalhos necessários a um perfeito acabamento. (Paredes quarto)</t>
  </si>
  <si>
    <t>3.1.4.4</t>
  </si>
  <si>
    <t>Fornecimento e aplicação de testa em gesso laminado, incluindo estrutura resistente adequada e restantes trabalhos, de acordo com o preconizado nas peças desenhadas e escritas de projeto. camada simples de placas tipo Knauf Standard Tipo A/12,5 mm aparafusadas a uma estrutura metálica em chapa galvanizada. Inclui aplicação de “banda acústica” entre os perfis L e as paredes perimetrais e lã mineral. Tratamento de juntas com cinta de papel e aplicação do “Primário pintura”. Pronta a pintar incluíndo todos os trabalhos e fornecimentos necessários a um perfeito acabamento, de acordo com o preconizado nas peças desenhadas e escritas de projeto. 
(separação Quarto/Hall)</t>
  </si>
  <si>
    <t>3.1.4.5</t>
  </si>
  <si>
    <t>Massa de enchimento tipo Estuque, adequada à utilização em Instalações sanitárias, pronta a receber revestimento conforme mapa de acabamentos, incluindo remoção de tintas mal aderentes e reparação de fissuras, substituição de argamassas sempre que necessário por novas compativeis com as existentes, bem como todos os restantes acessórios e trabalhos necessários a um bom acabamento bem como eventuais meios elevatórios. Prever o enchimento necessário à planimetria entre acabamentos diferentes (Instalação Sanitária)</t>
  </si>
  <si>
    <t>3.1.4.6</t>
  </si>
  <si>
    <r>
      <rPr>
        <sz val="10"/>
        <color rgb="FF000000"/>
        <rFont val="Calibri"/>
        <family val="2"/>
      </rPr>
      <t>Fornecimento e aplicação de cerâmico Recer Mastery, Refª PPR6012MST801 com 120x60cm, aplicado até 1,10m altura,</t>
    </r>
    <r>
      <rPr>
        <sz val="10"/>
        <color rgb="FFFF0000"/>
        <rFont val="Calibri"/>
        <family val="2"/>
      </rPr>
      <t xml:space="preserve"> </t>
    </r>
    <r>
      <rPr>
        <sz val="10"/>
        <color rgb="FF000000"/>
        <rFont val="Calibri"/>
        <family val="2"/>
      </rPr>
      <t>(Conforme projeto de Interior Design. A confirmar com amostra no local), sem juntas de assentamento, acabamento nivelado à face do paramento superior da parede separados por perfil de transição metálico fino lacado a branco (Conforme projeto de Interior Design. A confirmar com amostra no local), juntas de acordo com o fabricante, com cimentos cola indicado pelo fornecedor, incluindo regularização da parede após remoção das antigas peças, colmatação de roços abertos para passagem de instalações ou áreas necessárias da parede decorrentes da demolição e todos os cortes necessários que garantam um correto acabamento aos elementos adjacentes. Incluindo betumação, regularização, entre outros trabalhos necessários a um perfeito acabamento. Nota: Colocação do cerâmico segundo peças desenhadas. 
(Parede I.S)</t>
    </r>
  </si>
  <si>
    <t>3.1.4.7</t>
  </si>
  <si>
    <t>3.1.4.8</t>
  </si>
  <si>
    <t>3.1.4.9</t>
  </si>
  <si>
    <t>Fornecimento e aplicação de revestimento de Vidro tipo Vidreira Algarvia, Planiclear Diamant com 6mm pintado à cor preta, com colagem integral do pano de vidro utilizando o produto PL 400 da TREMCO (ou equivalente) a suporte limpo e desempenado. Inclui remate com cantoneiras metálicas (proteção contra impactos) aplicadas nas arestas vivas das paredes, com acabamento lacado na cor Verde escuro RAL 6009 (verde conforme projeto de Interior Design. A confirmar com amostra no local), incluindo primário adequado, bem como todos os materiais e trabalhos necessários, de acordo com o preconizado nas peças desenhadas e escritas de projeto (cantoneiras medidas no artigo 3.1.4.13). Inclui todos os trabalhos, remates e acessórios necessários a um correcto acabamento e funcionamento. Trabalho de acordo com o preconizado nas peças desenhadas e escritas de projeto. 
(Parede atrás louceiro)</t>
  </si>
  <si>
    <t>3.1.4.10</t>
  </si>
  <si>
    <t>Fornecimento e execução de pintura com tinta aquosa acrílica, com aspecto liso mate, ref.ª 10-250 VINYLMATT, na cor Verde claro NCS S 2010-G30Y (verde conforme projeto de Interior Design. A confirmar com amostra no local), sobre paredes, incluindo primário adequado, bem como todos os materiais e trabalhos necessários, de acordo com o preconizado nas peças desenhadas e escritas de projeto. 
(Quarto)</t>
  </si>
  <si>
    <t>3.1.4.11</t>
  </si>
  <si>
    <t>Fornecimento e execução de pintura com tinta aquosa acrílica, com aspecto liso mate, ref.ª 10-250 VINYLMATT, na cor Verde escuro RAL 6009 (verde conforme projeto de Interior Design. A confirmar com amostra no local), sobre paredes, incluindo primário adequado, bem como todos os materiais e trabalhos necessários, de acordo com o preconizado nas peças desenhadas e escritas de projeto. 
(Hall)</t>
  </si>
  <si>
    <t>3.1.4.12</t>
  </si>
  <si>
    <t>Fornecimento e execução de pintura com tinta aquosa acrílica, com aspecto liso mate, ref.ª 10-250 VINYLMATT, na cor Branco RAL 9010 (branco conforme projeto de Interior Design. A confirmar com amostra no local), sobre paredes, incluindo primário adequado e tratamento anti fungos, bem como todos os materiais e trabalhos necessários, de acordo com o preconizado nas peças desenhadas e escritas de projeto. 
(Instalação sanitária)</t>
  </si>
  <si>
    <t>3.1.4.13</t>
  </si>
  <si>
    <t>Fornecimento e aplicação de cantoneiras metálicas (proteção contra impactos) aplicadas nas arestas vivas das paredes, com acabamento lacado na cor Verde escuro RAL 6009 (verde conforme projeto de Interior Design. A confirmar com amostra no local), incluindo primário adequado, bem como todos os materiais e trabalhos necessários, de acordo com o preconizado nas peças desenhadas e escritas de projeto. 
(Hall)</t>
  </si>
  <si>
    <t>3.1.4.14</t>
  </si>
  <si>
    <t>Fornecimento e aplicação de cantoneiras metálicas (proteção contra impactos) aplicadas nas arestas vivas das paredes, com acabamento lacado na cor Verde claro NCS S 2010-G30Y (verde conforme projeto de Interior Design. A confirmar com amostra no local), incluindo primário adequado, bem como todos os materiais e trabalhos necessários, de acordo com o preconizado nas peças desenhadas e escritas de projeto. 
(Quarto)</t>
  </si>
  <si>
    <t>3.1.4.15</t>
  </si>
  <si>
    <t>Fornecimento e instalação de cantoneiras metálicas, com abas de pelo menos 2cm, com acabamento lacado na cor Verde claro NCS S 2010-G30Y (verde conforme projeto de Interior Design. A confirmar com amostra no local), incluindo primário adequado, bem como todos os materiais e trabalhos necessários, de acordo com o preconizado nas peças desenhadas e escritas de projeto. Fixação nas paredes, na lateral das janelas, para colar o velcro do cortinado black-out do quarto.</t>
  </si>
  <si>
    <t>3.1.5</t>
  </si>
  <si>
    <t>Tectos</t>
  </si>
  <si>
    <t>3.1.5.1</t>
  </si>
  <si>
    <t>Fornecimento e montagem de tecto falso em gesso cartonado standard, constituído por camada simples de placas tipo Knauf Standard Tipo A/12,5 mm aparafusadas a uma estrutura metálica em chapa galvanizada Z 140 de maestras 47/17/0,6 mm (com separação máxima de 500 mm), suspensa da laje mediante “pivot + varão roscado M6 zincado + bucha metálica M6” (ou outra), com separação máxima de 1000 mm ou  equivalente. Inclui aplicação de “banda acústica” entre os perfis L e as paredes perimetrais e de lã mineral. Tratamento de juntas. Pronta a pintar, incluíndo todos os trabalhos e fornecimentos necessários a um perfeito acabamento, de acordo com o preconizado nas peças desenhadas e escritas de projeto. 
(Hall)</t>
  </si>
  <si>
    <t>3.1.5.2</t>
  </si>
  <si>
    <t>Fornecimento e montagem de tecto falso em gesso cartonado hidrófugo,  constituído camada simples de placas tipo Knauf Hidrófugadas Tipo H1/12,5 mm aparafusadas a uma estrutura metálica em chapa galvanizada Z 140 de maestras 47/17/0,6 mm (com separação máxima de 500 mm), suspensa da lage mediante “pivot” + “varão roscado M6 zincado” + “bucha metálica M6” (ou outra), com separação máxima de 1000 mm ou equivalente. Inclui aplicação de “banda acústica” entre os perfis L e as paredes perimetrais e lã mineral. Inclui execução de sancas para receber iluminação em fita LED, conforme peças desenhadas de projeto (parede lateral duche, parede sanita, parede lavatório). Tratamento de juntas com cinta de papel e aplicação do “Primário pintura”. Pronta a pintar incluíndo todos os trabalhos e fornecimentos necessários a um perfeito acabamento, de acordo com o preconizado nas peças desenhadas e escritas de projeto.  
(Instalação Sanitária)</t>
  </si>
  <si>
    <t>3.1.5.3</t>
  </si>
  <si>
    <t>Fornecimento e montagem de sanca de iluminação em gesso cartonado hidrófugo,  constituído camada simples de placas tipo Knauf Hidrófugadas Tipo H1/12,5 mm aparafusadas a uma estrutura metálica em chapa galvanizada do sistema. Pronta para receber iluminação em fita LED, conforme peças desenhadas de projeto (parede lateral duche, parede sanita, parede lavatório). Tratamento de juntas com cinta de papel e aplicação do “Primário pintura”. Pronta a pintar incluíndo todos os trabalhos e fornecimentos necessários a um perfeito acabamento, de acordo com o preconizado nas peças desenhadas e escritas de projeto.  
(Instalação Sanitária)</t>
  </si>
  <si>
    <t>3.1.5.4</t>
  </si>
  <si>
    <t>Fornecimento e execução de pintura com tinta aquosa acrílica, com aspecto liso mate, ref.ª 10-250 VINYLMATT, na cor NCS S 2010-G30Y (verde claro conforme projeto de Interior Design. A confirmar com amostra no local), sobre tectos, sancas e frisos, incluindo primário adequado, bem como todos os materiais e trabalhos necessários, de acordo com o preconizado nas peças desenhadas e escritas de projeto.
(Quarto)</t>
  </si>
  <si>
    <t>3.1.5.5</t>
  </si>
  <si>
    <t>Fornecimento e execução de pintura com tinta aquosa acrílica, com aspecto liso mate, com aspecto liso mate, ref.ª 10-250 VINYLMATT,na cor verde escuro RAL 6009 (Conforme projeto de Interior Design. A confirmar com amostra no local), sobre tectos, sancas e frisos, incluindo primário adequado, bem como todos os materiais e trabalhos necessários, de acordo com o preconizado nas peças desenhadas e escritas de projeto.  
(Hall)</t>
  </si>
  <si>
    <t>3.1.5.6</t>
  </si>
  <si>
    <t>Fornecimento e execução de pintura com tinta aquosa acrílica, com aspecto liso mate, ref.ª 10-250 VINYLMATT, na cor branco RAL 9010 (Conforme projeto de Interior Design. A confirmar com amostra no local), sobre tectos, sancas e frisos, , incluindo primário adequado e tratamento anti fungos, bem como todos os materiais e trabalhos necessários, de acordo com o preconizado nas peças desenhadas e escritas de projeto. 
(Instalação sanitária)</t>
  </si>
  <si>
    <t>3.1.5.7</t>
  </si>
  <si>
    <t>Fornecimento e execução de revestimento mural tipo "VESCOM", refª Sagara+Print à cor NCS (verde conforme projeto de Interior Design. A confirmar com amostra no local), aplicado sobre suporte limpo e desempenado. Inclui preparação da base para um perfeito acabamento, conforme indicações do fornecedor/instalador. Inclui a colagem com cola adequada às superfícies a aderir. Trabalho de acordo com o preconizado nas peças desenhadas de preparação. (Quarto)</t>
  </si>
  <si>
    <t>3.1.5.8</t>
  </si>
  <si>
    <t>Fornecimento e aplicação de alçapão 60x60 cm para acesso à máquina de AVAC. Inclui cortes, remates e todos os materiais e trabalhos necessários, de acordo com o preconizado nas peças desenhadas e escritas de projeto, bem como dos projetos de engenharias. (Hall de entrada)</t>
  </si>
  <si>
    <t>un</t>
  </si>
  <si>
    <t>3.1.5.9</t>
  </si>
  <si>
    <t>Fornecimento e fixação de testa em MDF lacado à cor NCS S 2010-G30Y (verde claro conforme projeto de Interior Design. A confirmar com amostra no local), para ocultação das calhas de cortinados. A peça terá 20cm de altura e 3,5cm de espessura, incluindo fixações e todos os materiais e acessórios necessários a um perfeito acabamento, de acordo com o preconizado nas peças desenhadas e escritas de projeto. (Quarto)</t>
  </si>
  <si>
    <t>3.1.5.10</t>
  </si>
  <si>
    <t>Fornecimento e fixação de friso em MDF lacado à cor NCS S 2010-G30Y (verde claro conforme projeto de Interior Design. A confirmar com amostra no local), para remate do papel de parede no tecto. A peça terá 3cm de altura e 3cm de espessura, incluindo fixações e todos os materiais e acessórios necessários a um perfeito acabamento, de acordo com o preconizado nas peças desenhadas e escritas de projeto. (Quarto)</t>
  </si>
  <si>
    <t>3.1.6</t>
  </si>
  <si>
    <t>Vãos</t>
  </si>
  <si>
    <t>3.1.6.1</t>
  </si>
  <si>
    <t>3.1.6.2</t>
  </si>
  <si>
    <t>Fornecimento e colocação de vão de porta interior em engradado de madeira + XPS +  MDF hidrófugo 6mm. Acabamento Lacado à cor verde escuro RAL 6009 (Conforme projeto de Interior Design. A confirmar com amostra no local) em ambas as faces, Aduelas em contraplacado maritimo ou Valchromatt lacado na mesma cor, conforme mapa de vãos do projeto interior design. Dimensões 800x2400mm. Puxador Natur Watch Series ref. IN.00.145.KN.TB, com acabamento preto, Fecho L/O da JNF ref. IN.04.266.KN.TB com fechadura incorporada IN.20.897.R, batente de pavimento JNF ref. IN.13.185.30.TG, certificado do produto, vedante de borracha Asegal A01617 e tudo o demais necessário para o seu correto funcionamento. Com todos os trabalhos e materiais necessários para uma boa execução e de acordo com recomendações do fabricante e mapa de vãos, de acordo com o preconizado nas peças desenhadas e escritas de projeto. (porta I.S. dos quartos)</t>
  </si>
  <si>
    <t>3.1.7</t>
  </si>
  <si>
    <t>Sinalética</t>
  </si>
  <si>
    <t>3.1.7.1</t>
  </si>
  <si>
    <t>Fornecimento e instalação de placa PVC Opaco com Planta Emergência, com 297x210mm, de acordo com o projeto da especialidade. Inclui todas as peças, fixações e remates necessários ao seu correto funcionamento.</t>
  </si>
  <si>
    <t>3.1.7.2</t>
  </si>
  <si>
    <t>Fornecimento e instalação de placa PVC fotoluminescente com indicação de saida de emergencia, sobre a porta do quarto, de acordo com o projeto da especialidade. Inclui todas as peças, fixações e remates necessários ao seu correto funcionamento.</t>
  </si>
  <si>
    <t>3.1.8</t>
  </si>
  <si>
    <t>Equipamento sanitário</t>
  </si>
  <si>
    <t>Fornecimento das loiças sanitárias, incluindo todos os acessórios, ligações, uniões, válvulas de corte e restantes elementos necessários ao seu perfeito funcionamento e instalação, de acordo com o preconizado nas peças desenhadas e escritas de projeto.</t>
  </si>
  <si>
    <t>3.1.8.1</t>
  </si>
  <si>
    <t>Estrutura para sanita suspensa GROHE Rapid SL Project - sistema de instalação 1,13m, Ref.ª 38840000, com armação em aço galvanizado autoportanteautoclismo de dupla descarga em Polipropileno, incluindo curva de descarga em PVC.</t>
  </si>
  <si>
    <t>3.1.8.2</t>
  </si>
  <si>
    <t xml:space="preserve">Placa de acionamento GROHE Skate Cosmopolitan, acabamento cromado, Ref.ª 38732000, dupla descarga (Conforme projeto de Interior Design. A confirmar com amostra no local). </t>
  </si>
  <si>
    <t>3.1.8.3</t>
  </si>
  <si>
    <t>Conjunto de sanita suspensa GROHE Bau Ceramic, branca, Ref.ª 103860SH00. Inclui sanita suspensa e assento de sanita com tampa soft close, todas as peças, fixações e remates necessários ao seu correcto funcionamento. (Conforme projeto de Interior Design. A confirmar com amostra no local)</t>
  </si>
  <si>
    <t>3.1.8.4</t>
  </si>
  <si>
    <t>Fornecimento e aplicação de móvel de apoio ao lavatório, composto por:
Estrutura em MDF hidrófugo (Estrutura em 30mm, fundo em 10 mm), revestido a HPL EGGER acabamento Nogueira Lincoln ref.H1714 ST19. Fixação com niveladores ocultos SNM.5412 (2 niveladores e 2 chapas). - 130 kg, Abertura de rasgo para aplicação de fitas LED (2700K). Dimensões L115 x P50 x A28 cm (a confirmar no local) com a madeira em 3cm de espessura em cada nível; furações para válvula torneira e tubo ladrão; alhetas, cortes, remates e todos os trabalhos e materiais necessários a um perfeito acabamento, de acordo com as peças desenhadas e recomendações do fornecedor (Conforme projeto de Interior Design. A confirmar com amostra no local). Inclui a colagem com cola adequada às superfícies a colar.</t>
  </si>
  <si>
    <t>3.1.8.5</t>
  </si>
  <si>
    <t>Bancada em Krion Snow White com 1 lavatório integrado. Bancada de 1150x500x170mm; Lavatório termomoldado com 500x300 mm, com furo ladrão, furo para torneira, incluindo duas poleias para fixações, alhetas, cortes, remates e todos os trabalhos e materiais necessários a um perfeito acabamento, de acordo com as peças desenhadas e recomendações do fornecedor (Conforme projeto de Interior Design. A confirmar com amostra no local). Inclui a colagem com cola adequada às superfícies a colar.</t>
  </si>
  <si>
    <t>3.1.8.6</t>
  </si>
  <si>
    <t>Misturadora monocomando de lavatório HANSGROHE Tecturis S, acabamento cromado, refª73314000 (Conforme projeto de Interior Design. A confirmar com amostra no local). Inclui todas as peças, fixações e remates necessários ao seu correcto funcionamento.</t>
  </si>
  <si>
    <t>3.1.8.7</t>
  </si>
  <si>
    <t xml:space="preserve">Sifão de lavatório HANSGROHE Flowstar S, acabamento cromado, Ref.ª 52105000 (Conforme projeto de Interior Design. A confirmar com amostra no local). Inclui todas as peças, fixações e remates necessários ao seu correcto funcionamento. </t>
  </si>
  <si>
    <t>3.1.8.8</t>
  </si>
  <si>
    <t>Chuveiro de mão HANSGROHE Pulsify S Ecosmart, acabamento cromado, Ref.ª 24126000 (Conforme projeto de Interior Design. A confirmar com amostra no local) Inclui todas as peças, fixações e remates necessários ao seu correcto funcionamento.</t>
  </si>
  <si>
    <t>3.1.8.9</t>
  </si>
  <si>
    <t>3.1.8.10</t>
  </si>
  <si>
    <t>Chuveiro fixo HANSGROHE 280 1jet Ecosmart, acabamento cromado, Ref.ª 26221000 (Conforme projeto de Interior Design. A confirmar com amostra no local) Inclui todas as peças, fixações e remates necessários ao seu correcto funcionamento.</t>
  </si>
  <si>
    <t>3.1.8.11</t>
  </si>
  <si>
    <t>Suporte de chuveiro de mão HANSGROOHE Fixfit s, acabamento cromado, Ref.ª 26888000; com tomada de água e suporte de chuveiro (Conforme projeto de Interior Design. A confirmar com amostra no local). Inclui mangueira flexivel HANSGROHE Isiflex 125, acabamento cromado, Ref.ª 28272000 todas as peças, fixações e remates necessários ao seu correcto funcionamento.</t>
  </si>
  <si>
    <t>3.1.8.12</t>
  </si>
  <si>
    <t>Misturadora de duche de 2 funções HANSGROHE, válvula/inversor Ecostat S, acabamento cromado, Ref.ª 15758000 (Conforme projeto de Interior Design. A confirmar com amostra no local). Inclui todas as peças, fixações e remates necessários ao seu correcto funcionamento.</t>
  </si>
  <si>
    <t>3.1.8.13</t>
  </si>
  <si>
    <t>Elemento de ancastre universal para torneira b/d  HANSGROHE iBox UniversaL, Ref.ª 01800180</t>
  </si>
  <si>
    <t>3.1.8.14</t>
  </si>
  <si>
    <t>Porta rolos em Inox Satinado, JNF Série Ângulo, ref.ª IN.42.134 (Conforme projeto de Interior Design. A confirmar com amostra no local). Inclui todas as peças, fixações e remates necessários ao seu correcto funcionamento.</t>
  </si>
  <si>
    <t>3.1.8.15</t>
  </si>
  <si>
    <t xml:space="preserve">Porta piaçaba mural em Inox satinado, JNF Série Ângulo, Refª IN.42.165.P, (Conforme projeto de Interior Design. A confirmar com amostra no local). Inclui todas as peças, fixações e remates necessários ao seu correcto funcionamento. </t>
  </si>
  <si>
    <t>3.1.8.16</t>
  </si>
  <si>
    <t>Cabide em Inox satinado, JNF Série Ângulo, Ref.ª IN.14.510 (Conforme projeto de Interior Design. A confirmar com amostra no local). Inclui todas as peças, fixações e remates necessários ao seu correcto funcionamento.</t>
  </si>
  <si>
    <t>3.1.8.17</t>
  </si>
  <si>
    <t>Balde do lixo 5lt em Inox satinado, JNF, Ref.ª IN.65.203.05 (Conforme projeto de Interior Design. A confirmar com amostra no local)</t>
  </si>
  <si>
    <t>3.1.8.18</t>
  </si>
  <si>
    <t>Fonecimento e instalação de toalheiro em Inox satinado para lavatório, JNF Série Ângulo, com 425mm, Ref.ª IN.42.145.19.425 (Conforme projeto de Interior Design. A confirmar com amostra no local). Inclui todas as peças, fixações e remates necessários ao seu correcto funcionamento.</t>
  </si>
  <si>
    <t>3.1.8.19</t>
  </si>
  <si>
    <t xml:space="preserve">Fornecimento e colocação de espelho tipo Saint Gobain SGG Miralite Revolution 6mm cor Pure (conforme projeto de Interior Design. A confirmar com amostra no local) e moldura em MDF hidrófugo de 19mm de espessura com acabamento  em nogueira (Conforme desenho de preparação e projeto de interior design. A confirmar com amostra no local). Dimensões 1.10(A)x0.55(L)m. Inclui reforço na parte de trás para fixação do espelho à parede, efeito flutuante. Inclui apoio do espelho à parede através de apoios e afastadores ocultos. Com sistema de desembaciamento tipo Arflex aplicado na parede tardoz do espelho e foscagem na periferia de 25mm de largura para passar a iluminação, aplicado sobre base em MDF hidrofugo com 19mm de espessura pintado na cor preta. Inclui fita led 2700k na periferia da base de mdf. De acordo com o preconizado nas peças desenhadas e escritas de projeto. </t>
  </si>
  <si>
    <t>3.1.8.20</t>
  </si>
  <si>
    <t xml:space="preserve">Fornecimento e colocação de espelho de aumento de parede, HANSGROHE AddStoris, com luz LED, acabamento cromado, Ref.ª 41790000, incluindo as fixações, remates e todos os trabalhos e materiais necessários a um perfeito acabamento, de acordo com as peças desenhadas e recomendações do fornecedor (Conforme projeto de Interior Design. A confirmar com amostra no local) </t>
  </si>
  <si>
    <t>3.1.8.21</t>
  </si>
  <si>
    <t>3.1.8.22</t>
  </si>
  <si>
    <t>Fornecimento e colocação de base de duche ASD Planstone Slim, com acabamento na cor branca Refª 1661051015080. Dimensões de 210x80 cm. Dimensões e cortes necessários para aplicação a confirmar no local. Inclui todas as peças e acessórios necessárias ao seu bom funcionamento como válvula sifão e grelha lacada, de acordo com recomendações do fabricante, assim como todas as fixações necessárias. De acordo com o preconizado nas peças desenhadas e escritas de projeto.</t>
  </si>
  <si>
    <t>3.1.9</t>
  </si>
  <si>
    <t xml:space="preserve">Luminárias </t>
  </si>
  <si>
    <t>3.1.9.1</t>
  </si>
  <si>
    <t>Fornecimento e aplicação de calha de LED com difusor opalino. Fita LED 2700K, IP65. Inclui transformador e todos os trabalhos e acessórios necessários ao correto funcionamento do sistema, conforme projeto de Interior Design, projeto de Instalações elétricas e Operação.
(Móveis de apoio ao lavatório)</t>
  </si>
  <si>
    <t>TOTAL QUARTO MODELO A</t>
  </si>
  <si>
    <t>TOTAL QUARTOS MODELO A - 44 UNIDADES</t>
  </si>
  <si>
    <t>MULTIPLICAR QUANTIDADES DE TRABALHO TIPO PELA QUANTIDADE DE QUARTOS DESTA TIPOLOGIA, CONFORME PROJETO DE INTERIOR DESIGN. TODAS AS DIMENSÕES DEVEM SER VERIFICADAS EM OBRA</t>
  </si>
  <si>
    <t>QUARTO MODELO B Nº660</t>
  </si>
  <si>
    <t>3.2.1</t>
  </si>
  <si>
    <t>3.2.1.1</t>
  </si>
  <si>
    <t>3.2.2</t>
  </si>
  <si>
    <t>3.2.2.1</t>
  </si>
  <si>
    <t>3.2.2.2</t>
  </si>
  <si>
    <t>3.2.3</t>
  </si>
  <si>
    <t>3.2.3.1</t>
  </si>
  <si>
    <t>3.2.3.2</t>
  </si>
  <si>
    <t>3.2.3.3</t>
  </si>
  <si>
    <t>3.2.3.4</t>
  </si>
  <si>
    <t>3.2.3.5</t>
  </si>
  <si>
    <t>3.2.3.6</t>
  </si>
  <si>
    <t>Fornecimento e colocação de Rodapé em MDF com classe de resistência ao fogo A1, com 12mm de espessura, lacado à cor NCS S 2010-B (azul claro)
(Quarto)</t>
  </si>
  <si>
    <t>3.2.3.7</t>
  </si>
  <si>
    <t>Fornecimento e colocação de Rodapé em MDF com classe de resistência ao fogo A1, com 12mm de espessura, lacado à cor RAL 5020 (azul escuro)
(Hall)</t>
  </si>
  <si>
    <t>3.2.3.8</t>
  </si>
  <si>
    <t>3.2.4</t>
  </si>
  <si>
    <t>3.2.4.1</t>
  </si>
  <si>
    <t>3.2.4.2</t>
  </si>
  <si>
    <t>3.2.4.3</t>
  </si>
  <si>
    <t>3.2.4.4</t>
  </si>
  <si>
    <t>3.2.4.5</t>
  </si>
  <si>
    <t>Enchimento da parede interior existente na base de duche com argamassa, pronta a receber revestimento conforme mapa de acabamanetos, incluindo remoção de tintas mal aderentes e reparação de fissuras, substituição de argamassas sempre que necessário por novas compativeis com as existentes, bem como todos os restantes acessórios e trabalhos necessários a um bom acabamento bem como eventuais meios elevatórios. (Instalação Sanitária - Duche)</t>
  </si>
  <si>
    <t>3.2.4.6</t>
  </si>
  <si>
    <t>3.2.4.7</t>
  </si>
  <si>
    <t>Fornecimento e aplicação de cerâmico Gresart, série Kech  - Blue Cobalt Brick GPC, com dimensões 6,5 x 30x0,8cm, Refª0804 (Conforme projeto de Interior Design. A confirmar com amostra no local), a colocar na instalação sanitária, sem juntas de assentamento, de acordo com o preconizado nas peças desenhadas e escritas de projeto, juntas de acordo com o fabricante, com cimentos cola indicado pelo fornecedor, incluindo colas, regularização da parede após remoção das antigas peças, colmatação de roços abertos para passagem de instalações ou áreas necessárias da parede decorrentes da demolição e todos os cortes necessários que garantam um correto acabamento aos elementos adjacentes. Incluindo betumação, regularização entre outros trabalhos necessários a um perfeito acabamento.  Nota: Colocação do cerâmico segundo peças desenhadas. (Instalação Sanitária Duche)</t>
  </si>
  <si>
    <t>3.2.4.8</t>
  </si>
  <si>
    <t>3.2.4.9</t>
  </si>
  <si>
    <t>Fornecimento e execução de pintura com tinta aquosa acrílica, com aspecto liso mate, ref.ª 10-250 VINYLMATT, na cor Azul claro NCS S 2010 -B (azul conforme projeto de Interior Design. A confirmar com amostra no local), sobre paredes, incluindo primário adequado, bem como todos os materiais e trabalhos necessários, de acordo com o preconizado nas peças desenhadas e escritas de projeto. 
(Quarto)</t>
  </si>
  <si>
    <t>3.2.4.10</t>
  </si>
  <si>
    <t>Fornecimento e execução de pintura com tinta aquosa acrílica, com aspecto liso mate, ref.ª 10-250 VINYLMATT, na cor Azul escuro RAL 5020 (azul conforme projeto de Interior Design. A confirmar com amostra no local), sobre paredes, incluindo primário adequado, bem como todos os materiais e trabalhos necessários, de acordo com o preconizado nas peças desenhadas e escritas de projeto. 
(Hall)</t>
  </si>
  <si>
    <t>3.2.4.11</t>
  </si>
  <si>
    <t>3.2.4.12</t>
  </si>
  <si>
    <t>Fornecimento e aplicação de cantoneiras metálicas (proteção contra impactos) aplicadas nas arestas vivas das paredes, com acabamento lacado na cor Azul escuro RAL 5020 (azul conforme projeto de Interior Design. A confirmar com amostra no local), incluindo primário adequado, bem como todos os materiais e trabalhos necessários, de acordo com o preconizado nas peças desenhadas e escritas de projeto. 
(Hall)</t>
  </si>
  <si>
    <t>3.2.4.13</t>
  </si>
  <si>
    <t>Fornecimento e aplicação de cantoneiras metálicas (proteção contra impactos) aplicadas nas arestas vivas das paredes, com acabamento lacado na cor Azul claro NCS S 2010-B (azul conforme projeto de Interior Design. A confirmar com amostra no local), incluindo primário adequado, bem como todos os materiais e trabalhos necessários, de acordo com o preconizado nas peças desenhadas e escritas de projeto. 
(Quarto)</t>
  </si>
  <si>
    <t>3.2.4.14</t>
  </si>
  <si>
    <t>Fornecimento e aplicação de cantoneiras metálicas (proteção contra impactos) aplicadas de forma invertida nas arestas vivas / remate do espelho de lavatório, com acabamento lacado na cor Azul escuro RAL 5020 (azul conforme projeto de Interior Design. A confirmar com amostra no local), incluindo primário adequado, bem como todos os materiais e trabalhos necessários, de acordo com o preconizado nas peças desenhadas e escritas de projeto. 
(Lavatório Hall)</t>
  </si>
  <si>
    <t>3.2.4.15</t>
  </si>
  <si>
    <t>Fornecimento e instalação de cantoneiras metálicas, com abas de pelo menos 2cm, com acabamento lacado na cor Azul claro NCS S 2010-B (azul conforme projeto de Interior Design. A confirmar com amostra no local), incluindo primário adequado, bem como todos os materiais e trabalhos necessários, de acordo com o preconizado nas peças desenhadas e escritas de projeto. Fixação nas paredes, na lateral das janelas, para colar o velcro do cortinado black-out do quarto.</t>
  </si>
  <si>
    <t>3.2.5</t>
  </si>
  <si>
    <t>3.2.5.1</t>
  </si>
  <si>
    <t>3.2.5.2</t>
  </si>
  <si>
    <t>3.2.5.3</t>
  </si>
  <si>
    <t>3.2.5.4</t>
  </si>
  <si>
    <t>Fornecimento e execução de pintura com tinta aquosa acrílica, com aspecto liso mate, ref.ª 10-250 VINYLMATT, na cor NCS S 2010-B (azul claro conforme projeto de Interior Design. A confirmar com amostra no local), sobre tectos, sancas e frisos, incluindo primário adequado, bem como todos os materiais e trabalhos necessários, de acordo com o preconizado nas peças desenhadas e escritas de projeto.
(Quarto)</t>
  </si>
  <si>
    <t>3.2.5.5</t>
  </si>
  <si>
    <t>Fornecimento e execução de pintura com tinta aquosa acrílica, com aspecto liso mate, com aspecto liso mate, ref.ª 10-250 VINYLMATT,na cor azul escuro RAL 5020 (Conforme projeto de Interior Design. A confirmar com amostra no local), sobre tectos, sancas e frisos, incluindo primário adequado, bem como todos os materiais e trabalhos necessários, de acordo com o preconizado nas peças desenhadas e escritas de projeto.  
(Hall)</t>
  </si>
  <si>
    <t>3.2.5.6</t>
  </si>
  <si>
    <t xml:space="preserve">Fornecimento e execução de pintura com tinta aquosa acrílica, com aspecto liso mate, ref.ª 10-250 VINYLMATT, na cor branco RAL 9010 (Conforme projeto de Interior Design. A confirmar com amostra no local), sobre tectos, sancas e frisos, , incluindo primário adequado e tratamento anti fungos, bem como todos os materiais e trabalhos necessários, de acordo com o preconizado nas peças desenhadas e escritas de projeto. 
(Instalação sanitária)
</t>
  </si>
  <si>
    <t>3.2.5.7</t>
  </si>
  <si>
    <t>Fornecimento e execução de revestimento mural tipo "VESCOM", refª Sagara+Print à cor NCS (azul conforme projeto de Interior Design. A confirmar com amostra no local), aplicado sobre suporte limpo e desempenado. Inclui preparação da base para um perfeito acabamento, conforme indicações do fornecedor/instalador. Inclui a colagem com cola adequada às superfícies a aderir. Trabalho de acordo com o preconizado nas peças desenhadas de preparação. (Quarto)</t>
  </si>
  <si>
    <t>3.2.5.8</t>
  </si>
  <si>
    <t>3.2.5.9</t>
  </si>
  <si>
    <t>Fornecimento e fixação de testa em MDF lacado à cor NCS S 2010-B (azul claro conforme projeto de Interior Design. A confirmar com amostra no local), para ocultação das calhas de cortinados. A peça terá 20cm de altura e 3,5cm de espessura, incluindo fixações e todos os materiais e acessórios necessários a um perfeito acabamento, de acordo com o preconizado nas peças desenhadas e escritas de projeto. (Quarto)</t>
  </si>
  <si>
    <t>3.2.5.10</t>
  </si>
  <si>
    <t>Fornecimento e fixação de friso em MDF lacado à cor NCS S 2010-B (azul claro conforme projeto de Interior Design. A confirmar com amostra no local), para remate do papel de parede no tecto. A peça terá 3cm de altura e 3cm de espessura, incluindo fixações e todos os materiais e acessórios necessários a um perfeito acabamento, de acordo com o preconizado nas peças desenhadas e escritas de projeto. (Quarto)</t>
  </si>
  <si>
    <t>3.2.6</t>
  </si>
  <si>
    <t>3.2.6.1</t>
  </si>
  <si>
    <t>3.2.6.2</t>
  </si>
  <si>
    <t>Fornecimento e colocação de vão de porta interior em engradado de madeira + XPS +  MDF hidrófugo 6mm. Acabamento Lacado à cor azul escuro RAL 5020 (Conforme projeto de Interior Design. A confirmar com amostra no local) em ambas as faces, Aduelas em contraplacado maritimo ou Valchromatt lacado na mesma cor, conforme mapa de vãos do projeto interior design. Dimensões 800x2400mm. Puxador Natur Watch Series ref. IN.00.145.KN.TB, com acabamento preto, Fecho L/O da JNF ref. IN.04.266.KN.TB com fechadura incorporada IN.20.897.R, batente de pavimento JNF ref. IN.13.185.30.TG, certificado do produto, vedante de borracha Asegal A01617 e tudo o demais necessário para o seu correto funcionamento. Com todos os trabalhos e materiais necessários para uma boa execução e de acordo com recomendações do fabricante e mapa de vãos, de acordo com o preconizado nas peças desenhadas e escritas de projeto. (porta I.S. dos quartos)</t>
  </si>
  <si>
    <t>3.2.7</t>
  </si>
  <si>
    <t>3.2.7.1</t>
  </si>
  <si>
    <t>3.2.7.2</t>
  </si>
  <si>
    <t>3.2.8</t>
  </si>
  <si>
    <t>3.2.8.1</t>
  </si>
  <si>
    <t>3.2.8.2</t>
  </si>
  <si>
    <t xml:space="preserve">Placa de acionamento GROHE Skate Cosmopolitan, acabamento brushed hard graphite, Ref.ª 38732ALO, dupla descarga (Conforme projeto de Interior Design. A confirmar com amostra no local). </t>
  </si>
  <si>
    <t>3.2.8.3</t>
  </si>
  <si>
    <t>3.2.8.4</t>
  </si>
  <si>
    <t>Fornecimento e aplicação de móvel de apoio ao lavatório, composto por:
Estrutura em MDF hidrófugo (Estrutura em 30mm, fundo em 10 mm), revestido a HPL EGGER acabamento Nogueira Lincoln ref.H1714 ST19. Fixação com niveladores ocultos SNM.5412 (2 niveladores e 2 chapas). - 130 kg, Abertura de rasgo para aplicação de fitas LED (2700K). Dimensões L197 x P50 x A28 cm (a confirmar no local) com a madeira em 3cm de espessura em cada nível; furações para válvula torneira e tubo ladrão; alhetas, cortes, remates e todos os trabalhos e materiais necessários a um perfeito acabamento, de acordo com as peças desenhadas e recomendações do fornecedor (Conforme projeto de Interior Design. A confirmar com amostra no local). Inclui a colagem com cola adequada às superfícies a colar.</t>
  </si>
  <si>
    <t>3.2.8.5</t>
  </si>
  <si>
    <t>Bancada em Krion Snow White com 1 lavatório integrado. Bancada de 1970x500x170mm; Lavatório termomoldado com 500x300 mm, com furo ladrão, furo para torneira, incluindo duas poleias para fixações, alhetas, cortes, remates e todos os trabalhos e materiais necessários a um perfeito acabamento, de acordo com as peças desenhadas e recomendações do fornecedor (Conforme projeto de Interior Design. A confirmar com amostra no local). Inclui a colagem com cola adequada às superfícies a colar.</t>
  </si>
  <si>
    <t>3.2.8.6</t>
  </si>
  <si>
    <t>Misturadora monocomando de lavatório HANSGROHE Tecturis S, acabamento brushed black chrome, refª73314341 (Conforme projeto de Interior Design. A confirmar com amostra no local). Inclui todas as peças, fixações e remates necessários ao seu correcto funcionamento.</t>
  </si>
  <si>
    <t>3.2.8.7</t>
  </si>
  <si>
    <t xml:space="preserve">Sifão de lavatório HANSGROHE Flowstar S, acabamento brushed black chrome, Ref.ª 52105340 (Conforme projeto de Interior Design. A confirmar com amostra no local). Inclui todas as peças, fixações e remates necessários ao seu correcto funcionamento. </t>
  </si>
  <si>
    <t>3.2.8.8</t>
  </si>
  <si>
    <t>Chuveiro de mão HANSGROHE Pulsify S Ecosmart, acabamento brushed black chrome, Ref.ª 24126340 (Conforme projeto de Interior Design. A confirmar com amostra no local) Inclui todas as peças, fixações e remates necessários ao seu correcto funcionamento.</t>
  </si>
  <si>
    <t>3.2.8.9</t>
  </si>
  <si>
    <t>3.2.8.10</t>
  </si>
  <si>
    <t>Chuveiro fixo HANSGROHE 280 1jet Ecosmart, acabamento brushed black chrome, Ref.ª 26221340 (Conforme projeto de Interior Design. A confirmar com amostra no local) Inclui todas as peças, fixações e remates necessários ao seu correcto funcionamento.</t>
  </si>
  <si>
    <t>3.2.8.11</t>
  </si>
  <si>
    <t>Suporte de chuveiro de mão HANSGROOHE Fixfit s, acabamento brushed black chrome, Ref.ª 26888340; com tomada de água e suporte de chuveiro (Conforme projeto de Interior Design. A confirmar com amostra no local). Inclui mangueira flexivel HANSGROHE Isiflex 125, acabamento brushed black chrome, Ref.ª 28272340 todas as peças, fixações e remates necessários ao seu correcto funcionamento.</t>
  </si>
  <si>
    <t>3.2.8.12</t>
  </si>
  <si>
    <t>Misturadora de duche de 2 funções HANSGROHE, válvula/inversor Ecostat S, acabamento brushed black chrome, Ref.ª 15758340 (Conforme projeto de Interior Design. A confirmar com amostra no local). Inclui todas as peças, fixações e remates necessários ao seu correcto funcionamento.</t>
  </si>
  <si>
    <t>3.2.8.13</t>
  </si>
  <si>
    <t>3.2.8.14</t>
  </si>
  <si>
    <t>Porta rolos em Inox titanium black, JNF Série Ângulo, ref.ª IN.42.134.TB (Conforme projeto de Interior Design. A confirmar com amostra no local). Inclui todas as peças, fixações e remates necessários ao seu correcto funcionamento.</t>
  </si>
  <si>
    <t>3.2.8.15</t>
  </si>
  <si>
    <t xml:space="preserve">Porta piaçaba mural em Inox  titanium black, JNF Série Ângulo, Refª IN.42.165.P.TB, (Conforme projeto de Interior Design. A confirmar com amostra no local). Inclui todas as peças, fixações e remates necessários ao seu correcto funcionamento. </t>
  </si>
  <si>
    <t>3.2.8.16</t>
  </si>
  <si>
    <t>Cabide em Inox titanium black, JNF Série Ângulo, Ref.ª IN.14.510.TB (Conforme projeto de Interior Design. A confirmar com amostra no local). Inclui todas as peças, fixações e remates necessários ao seu correcto funcionamento.</t>
  </si>
  <si>
    <t>3.2.8.17</t>
  </si>
  <si>
    <t>Balde do lixo 5lt em Inox titanium black, JNF, Ref.ª IN.65.203.05.TB (Conforme projeto de Interior Design. A confirmar com amostra no local)</t>
  </si>
  <si>
    <t>3.2.8.18</t>
  </si>
  <si>
    <t>Fonecimento e instalação de toalheiro em Inox titanium black para lavatório, JNF Série Ângulo, com 425mm, Ref.ª IN.42.145.19.250.TB (Conforme projeto de Interior Design. A confirmar com amostra no local). Inclui todas as peças, fixações e remates necessários ao seu correcto funcionamento.</t>
  </si>
  <si>
    <t>3.2.8.19</t>
  </si>
  <si>
    <t>3.2.8.20</t>
  </si>
  <si>
    <t xml:space="preserve">Fornecimento e colocação de espelho de aumento de parede, HANSGROHE AddStoris, com luz LED, acabamento brushed black chrome, Ref.ª 41790340, incluindo as fixações, remates e todos os trabalhos e materiais necessários a um perfeito acabamento, de acordo com as peças desenhadas e recomendações do fornecedor (Conforme projeto de Interior Design. A confirmar com amostra no local) </t>
  </si>
  <si>
    <t>3.2.8.21</t>
  </si>
  <si>
    <t>3.2.8.22</t>
  </si>
  <si>
    <t>Fornecimento e colocação de base de duche ASD Planstone Slim, com acabamento na cor branca Refª 1661051015080. Dimensões de 190x80 cm. Dimensões e cortes necessários para aplicação a confirmar no local. Inclui todas as peças e acessórios necessárias ao seu bom funcionamento como válvula sifão e grelha lacada, de acordo com recomendações do fabricante, assim como todas as fixações necessárias. De acordo com o preconizado nas peças desenhadas e escritas de projeto.</t>
  </si>
  <si>
    <t>3.2.9</t>
  </si>
  <si>
    <t>3.2.9.1</t>
  </si>
  <si>
    <t>Fornecimento e aplicação de calha de LED com difusor opalino. Fita LED 2700K, IP20. Inclui transformador e todos os trabalhos e acessórios necessários ao correto funcionamento do sistema, conforme projeto de Interior Design, projeto de Instalações elétricas e Operação.
(Móveis de apoio ao lavatório)</t>
  </si>
  <si>
    <t>TOTAL QUARTO MODELO B</t>
  </si>
  <si>
    <t>TOTAL QUARTOS MODELO B</t>
  </si>
  <si>
    <t>QUARTO MODELO C Nº217</t>
  </si>
  <si>
    <t>3.3.1</t>
  </si>
  <si>
    <t>3.3.2</t>
  </si>
  <si>
    <t>3.3.2.1</t>
  </si>
  <si>
    <t>3.3.2.2</t>
  </si>
  <si>
    <t>3.3.3</t>
  </si>
  <si>
    <t>3.3.3.1</t>
  </si>
  <si>
    <t>Fornecimento e aplicação de pavimento flutuante vinílico Jular, Refª V109 PJRSVINYL7572 HB, com uma camada superficial de desgaste 0,55 mm + Ceramic Coating, com tela incorporada EVA-C 1mm, de encaixe Click (Thight - Lock). Dimensões – 615 x 123 x 5mm, assentados a 45º. (Conforme projeto de Interior Design. A confirmar com amostra no local), em base devidamente preparada e nivelada, de acordo com o preconizado nas peças desenhadas e escritas de projeto e conforme indicações do fabricante, incluindo todos os trabalhos necessários ao seu perfeito acabamento.
 (Quarto + Hall)</t>
  </si>
  <si>
    <t>3.3.3.2</t>
  </si>
  <si>
    <t>3.3.3.3</t>
  </si>
  <si>
    <t>Trabalhos de regularização de pavimentos com recurso a auto-nivelante adequado na preparação das bases para assentamento dos revestimentos de pavimento previstos em projeto de Interior Design, incluindo todos os trabalhos necessários à sua perfeita execução, de acordo com o preconizado nas peças desenhadas e escritas de projeto.
(Instalação sanitária e Quarto)</t>
  </si>
  <si>
    <t>3.3.3.4</t>
  </si>
  <si>
    <t>Fornecimento e aplicação de cerâmico Recer Mastery, Refª PPR6012MST801 com 120x60cm (Conforme projeto de Interior Design. A confirmar com amostra no local), na instalação sanitária, sem juntas de assentamento, com cimento cola adequado indicado pelo fornecedor, com juntas de acordo com o fabricante, de acordo com o preconizado nas peças desenhadas e escritas de projeto, incluindo betumação, regularização, entre outros trabalhos necessários a um perfeito acabamento.
(Instalação Sanitária)</t>
  </si>
  <si>
    <t>3.3.3.5</t>
  </si>
  <si>
    <t>Fornecimento e assentamento de perfil de transição de pavimentos em aço inoxidável V2A, tipo "Schlüter-RENO-TK", incluindo fixação e todos os trabalhos preparatórios, acessórios e complementares, necessários a um perfeito acabamento, conforme preconizado nas peças desenhadas e escritas de projeto.
(Quarto)</t>
  </si>
  <si>
    <t>3.3.3.6</t>
  </si>
  <si>
    <t>3.3.3.7</t>
  </si>
  <si>
    <t>3.3.3.8</t>
  </si>
  <si>
    <r>
      <t xml:space="preserve">Fornecimento e assentamento de soleira em pedra Mármore Estremoz Claro, com acabamento </t>
    </r>
    <r>
      <rPr>
        <sz val="10"/>
        <rFont val="Calibri"/>
        <family val="2"/>
      </rPr>
      <t>amaciado</t>
    </r>
    <r>
      <rPr>
        <sz val="10"/>
        <color rgb="FFFF0000"/>
        <rFont val="Calibri"/>
        <family val="2"/>
      </rPr>
      <t xml:space="preserve"> </t>
    </r>
    <r>
      <rPr>
        <sz val="10"/>
        <color rgb="FF000000"/>
        <rFont val="Calibri"/>
        <family val="2"/>
      </rPr>
      <t>e arestas boleadas, nas portas de entrada no quarto, com espessura de 2cm. Dimensões conforme projeto e dimensões existentes no local (comprimento</t>
    </r>
    <r>
      <rPr>
        <sz val="10"/>
        <rFont val="Calibri"/>
        <family val="2"/>
      </rPr>
      <t xml:space="preserve"> 0,90m</t>
    </r>
    <r>
      <rPr>
        <sz val="10"/>
        <color rgb="FFFF0000"/>
        <rFont val="Calibri"/>
        <family val="2"/>
      </rPr>
      <t xml:space="preserve"> </t>
    </r>
    <r>
      <rPr>
        <sz val="10"/>
        <color rgb="FF000000"/>
        <rFont val="Calibri"/>
        <family val="2"/>
      </rPr>
      <t>x largura variável com um mínimo de 0,135m). Inclui rasgo para acomodar dilatação do pavimento do interior do quarto, conforme indicações do fabricante. Incluindo a remoção parcial da betonilha existente para reduzir a cota e  conseguir um melhor nivelamento da entrada e adequada preparação da superficie.
(entrada do quarto)</t>
    </r>
  </si>
  <si>
    <t>3.3.4</t>
  </si>
  <si>
    <t>3.3.4.1</t>
  </si>
  <si>
    <t>3.3.4.2</t>
  </si>
  <si>
    <t>3.3.4.3</t>
  </si>
  <si>
    <t>Fornecimento e aplicação de testa em gesso laminado, incluindo estrutura resistente adequada e restantes trabalhos, de acordo com o preconizado nas peças desenhadas e escritas de projeto. camada simples de placas tipo Knauf Standard Tipo A/12,5 mm aparafusadas a uma estrutura metálica em chapa galvanizada. Inclui aplicação de “banda acústica” entre os perfis L e as paredes perimetrais e lã mineral. Tratamento de juntas com cinta de papel e aplicação do “Primário pintura”. Pronta a pintar incluíndo todos os trabalhos e fornecimentos necessários a um perfeito acabamento, de acordo com o preconizado nas peças desenhadas e escritas de projeto.
(separação Quarto/Hall)</t>
  </si>
  <si>
    <t>3.3.4.4</t>
  </si>
  <si>
    <t>3.3.4.5</t>
  </si>
  <si>
    <r>
      <t>Fornecimento e aplicação de cerâmico Recer Mastery, Refª PPR6012MST801 com 120x60cm, aplicado até 1,10m altura,</t>
    </r>
    <r>
      <rPr>
        <sz val="10"/>
        <color rgb="FFFF0000"/>
        <rFont val="Calibri"/>
        <family val="2"/>
      </rPr>
      <t xml:space="preserve"> </t>
    </r>
    <r>
      <rPr>
        <sz val="10"/>
        <color rgb="FF000000"/>
        <rFont val="Calibri"/>
        <family val="2"/>
      </rPr>
      <t>(Conforme projeto de Interior Design. A confirmar com amostra no local), sem juntas de assentamento, acabamento nivelado à face do paramento superior da parede separados por perfil de transição metálico fino lacado a branco (Conforme projeto de Interior Design. A confirmar com amostra no local), juntas de acordo com o fabricante, com cimentos cola indicado pelo fornecedor, incluindo regularização da parede após remoção das antigas peças, colmatação de roços abertos para passagem de instalações ou áreas necessárias da parede decorrentes da demolição e todos os cortes necessários que garantam um correto acabamento aos elementos adjacentes. Incluindo betumação, regularização, entre outros trabalhos necessários a um perfeito acabamento. Nota: Colocação do cerâmico segundo peças desenhadas.
(Parede I.S)</t>
    </r>
  </si>
  <si>
    <t>3.3.4.6</t>
  </si>
  <si>
    <t>3.3.4.7</t>
  </si>
  <si>
    <t>3.3.4.8</t>
  </si>
  <si>
    <t>Fornecimento e aplicação de revestimento de Vidro tipo Vidreira Algarvia, Planiclear Diamant com 6mm pintado à cor preta, com colagem integral do pano de vidro utilizando o produto PL 400 da TREMCO (ou equivalente) a suporte limpo e desempenado. Inclui remate com cantoneiras metálicas (proteção contra impactos) aplicadas nas arestas vivas das paredes, com acabamento lacado na cor Verde escuro RAL 6009 (verde conforme projeto de Interior Design. A confirmar com amostra no local), incluindo primário adequado, bem como todos os materiais e trabalhos necessários, de acordo com o preconizado nas peças desenhadas e escritas de projeto (cantoneiras medidas no artigo 3.1.4.13). Inclui todos os trabalhos, remates e acessórios necessários a um correcto acabamento e funcionamento. Trabalho de acordo com o preconizado nas peças desenhadas e escritas de projeto.
(Parede atrás louceiro)</t>
  </si>
  <si>
    <t>3.3.4.9</t>
  </si>
  <si>
    <t>Fornecimento e execução de pintura com tinta aquosa acrílica, com aspecto liso mate, ref.ª 10-250 VINYLMATT, na cor Verde claro NCS S 2010-G30Y (verde conforme projeto de Interior Design. A confirmar com amostra no local), sobre paredes, incluindo primário adequado, bem como todos os materiais e trabalhos necessários, de acordo com o preconizado nas peças desenhadas e escritas de projeto.
(Quarto)</t>
  </si>
  <si>
    <t>3.3.4.10</t>
  </si>
  <si>
    <t>Fornecimento e execução de pintura com tinta aquosa acrílica, com aspecto liso mate, ref.ª 10-250 VINYLMATT, na cor Verde escuro RAL 6009 (verde conforme projeto de Interior Design. A confirmar com amostra no local), sobre paredes, incluindo primário adequado, bem como todos os materiais e trabalhos necessários, de acordo com o preconizado nas peças desenhadas e escritas de projeto.
(Hall)</t>
  </si>
  <si>
    <t>3.3.4.11</t>
  </si>
  <si>
    <t>Fornecimento e execução de pintura com tinta aquosa acrílica, com aspecto liso mate, ref.ª 10-250 VINYLMATT, na cor Branco RAL 9010 (branco conforme projeto de Interior Design. A confirmar com amostra no local), sobre paredes, incluindo primário adequado e tratamento anti fungos, bem como todos os materiais e trabalhos necessários, de acordo com o preconizado nas peças desenhadas e escritas de projeto.
(Instalação sanitária)</t>
  </si>
  <si>
    <t>3.3.4.12</t>
  </si>
  <si>
    <t>Fornecimento e aplicação de cantoneiras metálicas (proteção contra impactos) aplicadas nas arestas vivas das paredes, com acabamento lacado na cor Verde escuro RAL 6009 (verde conforme projeto de Interior Design. A confirmar com amostra no local), incluindo primário adequado, bem como todos os materiais e trabalhos necessários, de acordo com o preconizado nas peças desenhadas e escritas de projeto.
(Hall)</t>
  </si>
  <si>
    <t>3.3.4.13</t>
  </si>
  <si>
    <t>Fornecimento e aplicação de cantoneiras metálicas (proteção contra impactos) aplicadas nas arestas vivas das paredes, com acabamento lacado na cor Verde claro NCS S 2010-G30Y (verde conforme projeto de Interior Design. A confirmar com amostra no local), incluindo primário adequado, bem como todos os materiais e trabalhos necessários, de acordo com o preconizado nas peças desenhadas e escritas de projeto.
(Quarto)</t>
  </si>
  <si>
    <t>3.3.4.14</t>
  </si>
  <si>
    <t>3.3.5</t>
  </si>
  <si>
    <t>3.3.5.1</t>
  </si>
  <si>
    <t>Fornecimento e montagem de tecto falso em gesso cartonado standard, constituído por camada simples de placas tipo Knauf Standard Tipo A/12,5 mm aparafusadas a uma estrutura metálica em chapa galvanizada Z 140 de maestras 47/17/0,6 mm (com separação máxima de 500 mm), suspensa da laje mediante “pivot + varão roscado M6 zincado + bucha metálica M6” (ou outra), com separação máxima de 1000 mm ou  equivalente. Inclui aplicação de “banda acústica” entre os perfis L e as paredes perimetrais e de lã mineral. Tratamento de juntas. Pronta a pintar, incluíndo todos os trabalhos e fornecimentos necessários a um perfeito acabamento, de acordo com o preconizado nas peças desenhadas e escritas de projeto.
(Hall)</t>
  </si>
  <si>
    <t>3.3.5.2</t>
  </si>
  <si>
    <t>Fornecimento e montagem de tecto falso em gesso cartonado hidrófugo,  constituído camada simples de placas tipo Knauf Hidrófugadas Tipo H1/12,5 mm aparafusadas a uma estrutura metálica em chapa galvanizada Z 140 de maestras 47/17/0,6 mm (com separação máxima de 500 mm), suspensa da lage mediante “pivot” + “varão roscado M6 zincado” + “bucha metálica M6” (ou outra), com separação máxima de 1000 mm ou equivalente. Inclui aplicação de “banda acústica” entre os perfis L e as paredes perimetrais e lã mineral. Inclui execução de sancas para receber iluminação em fita LED, conforme peças desenhadas de projeto (parede lateral duche, parede sanita, parede lavatório). Tratamento de juntas com cinta de papel e aplicação do “Primário pintura”. Pronta a pintar incluíndo todos os trabalhos e fornecimentos necessários a um perfeito acabamento, de acordo com o preconizado nas peças desenhadas e escritas de projeto. 
(Instalação Sanitária)</t>
  </si>
  <si>
    <t>3.3.5.3</t>
  </si>
  <si>
    <t>Fornecimento e montagem de sanca de iluminação em gesso cartonado hidrófugo,  constituído camada simples de placas tipo Knauf Hidrófugadas Tipo H1/12,5 mm aparafusadas a uma estrutura metálica em chapa galvanizada do sistema. Pronta para receber iluminação em fita LED, conforme peças desenhadas de projeto (parede lateral duche, parede sanita, parede lavatório). Tratamento de juntas com cinta de papel e aplicação do “Primário pintura”. Pronta a pintar incluíndo todos os trabalhos e fornecimentos necessários a um perfeito acabamento, de acordo com o preconizado nas peças desenhadas e escritas de projeto. 
(Instalação Sanitária)</t>
  </si>
  <si>
    <t>3.3.5.4</t>
  </si>
  <si>
    <t>3.3.5.5</t>
  </si>
  <si>
    <t>Fornecimento e execução de pintura com tinta aquosa acrílica, com aspecto liso mate, com aspecto liso mate, ref.ª 10-250 VINYLMATT,na cor verde escuro RAL 6009 (Conforme projeto de Interior Design. A confirmar com amostra no local), sobre tectos, sancas e frisos, incluindo primário adequado, bem como todos os materiais e trabalhos necessários, de acordo com o preconizado nas peças desenhadas e escritas de projeto. 
(Hall)</t>
  </si>
  <si>
    <t>3.3.5.6</t>
  </si>
  <si>
    <t>Fornecimento e execução de pintura com tinta aquosa acrílica, com aspecto liso mate, ref.ª 10-250 VINYLMATT, na cor branco RAL 9010 (Conforme projeto de Interior Design. A confirmar com amostra no local), sobre tectos, sancas e frisos, , incluindo primário adequado e tratamento anti fungos, bem como todos os materiais e trabalhos necessários, de acordo com o preconizado nas peças desenhadas e escritas de projeto.
(Instalação sanitária)</t>
  </si>
  <si>
    <t>3.3.5.7</t>
  </si>
  <si>
    <t>3.3.5.8</t>
  </si>
  <si>
    <t>3.3.5.9</t>
  </si>
  <si>
    <t>3.3.5.10</t>
  </si>
  <si>
    <t>3.3.6</t>
  </si>
  <si>
    <t>3.3.6.1</t>
  </si>
  <si>
    <t>3.3.6.2</t>
  </si>
  <si>
    <t>3.3.7</t>
  </si>
  <si>
    <t>3.3.7.1</t>
  </si>
  <si>
    <t>3.3.7.2</t>
  </si>
  <si>
    <t>3.3.8</t>
  </si>
  <si>
    <t>3.3.8.1</t>
  </si>
  <si>
    <t>3.3.8.2</t>
  </si>
  <si>
    <t>3.3.8.3</t>
  </si>
  <si>
    <t>3.3.8.4</t>
  </si>
  <si>
    <t>Fornecimento e aplicação de móvel de apoio ao lavatório, composto por:
Estrutura em MDF hidrófugo (Estrutura em 30mm, fundo em 10 mm), revestido a HPL EGGER acabamento Nogueira Lincoln ref.H1714 ST19. Fixação com niveladores ocultos SNM.5412 (2 niveladores e 2 chapas). - 130 kg, Abertura de rasgo para aplicação de fitas LED (2700K). Dimensões L88 x P50 x A28 cm (a confirmar no local) com a madeira em 3cm de espessura em cada nível; furações para válvula torneira e tubo ladrão; alhetas, cortes, remates e todos os trabalhos e materiais necessários a um perfeito acabamento, de acordo com as peças desenhadas e recomendações do fornecedor (Conforme projeto de Interior Design. A confirmar com amostra no local). Inclui a colagem com cola adequada às superfícies a colar.</t>
  </si>
  <si>
    <t>3.3.8.5</t>
  </si>
  <si>
    <t>Bancada em Krion Snow White com 1 lavatório integrado. Bancada de 880x500x170mm; Lavatório termomoldado com 500x300 mm, com furo ladrão, furo para torneira, incluindo duas poleias para fixações, alhetas, cortes, remates e todos os trabalhos e materiais necessários a um perfeito acabamento, de acordo com as peças desenhadas e recomendações do fornecedor (Conforme projeto de Interior Design. A confirmar com amostra no local). Inclui a colagem com cola adequada às superfícies a colar.</t>
  </si>
  <si>
    <t>3.3.8.6</t>
  </si>
  <si>
    <t>3.3.8.7</t>
  </si>
  <si>
    <t>3.3.8.8</t>
  </si>
  <si>
    <t>3.3.8.9</t>
  </si>
  <si>
    <t>3.3.8.10</t>
  </si>
  <si>
    <t>3.3.8.11</t>
  </si>
  <si>
    <t>3.3.8.12</t>
  </si>
  <si>
    <t>3.3.8.13</t>
  </si>
  <si>
    <t>3.3.8.14</t>
  </si>
  <si>
    <t>3.3.8.15</t>
  </si>
  <si>
    <t>3.3.8.16</t>
  </si>
  <si>
    <t>3.3.8.17</t>
  </si>
  <si>
    <t>3.3.8.18</t>
  </si>
  <si>
    <t>3.3.8.19</t>
  </si>
  <si>
    <t>3.3.8.20</t>
  </si>
  <si>
    <t>3.3.8.21</t>
  </si>
  <si>
    <t>3.3.8.22</t>
  </si>
  <si>
    <t>Fornecimento e colocação de base de duche ASD Planstone Slim, com acabamento na cor branca Refª 1661051015080. Dimensões de 130x80 cm. Dimensões e cortes necessários para aplicação a confirmar no local. Inclui todas as peças e acessórios necessárias ao seu bom funcionamento como válvula sifão e grelha lacada, de acordo com recomendações do fabricante, assim como todas as fixações necessárias. De acordo com o preconizado nas peças desenhadas e escritas de projeto.</t>
  </si>
  <si>
    <t>3.3.9</t>
  </si>
  <si>
    <t>3.3.9.1</t>
  </si>
  <si>
    <t>TOTAL QUARTO MODELO C</t>
  </si>
  <si>
    <t>TOTAL QUARTOS MODELO C - 20 UNIDADES</t>
  </si>
  <si>
    <t>QUARTO MODELO D Nº670</t>
  </si>
  <si>
    <t>3.4.1</t>
  </si>
  <si>
    <t>3.4.1.1</t>
  </si>
  <si>
    <t>3.4.2</t>
  </si>
  <si>
    <t>3.4.2.1</t>
  </si>
  <si>
    <t>3.4.2.2</t>
  </si>
  <si>
    <t>3.4.3</t>
  </si>
  <si>
    <t>3.4.3.1</t>
  </si>
  <si>
    <t>3.4.3.2</t>
  </si>
  <si>
    <t>3.4.3.3</t>
  </si>
  <si>
    <t>3.4.3.4</t>
  </si>
  <si>
    <t>3.4.3.5</t>
  </si>
  <si>
    <t>3.4.3.6</t>
  </si>
  <si>
    <t>3.4.3.7</t>
  </si>
  <si>
    <t>3.4.3.8</t>
  </si>
  <si>
    <t>3.4.4</t>
  </si>
  <si>
    <t>3.4.4.1</t>
  </si>
  <si>
    <t>3.4.4.2</t>
  </si>
  <si>
    <t>3.4.4.3</t>
  </si>
  <si>
    <t>3.4.4.4</t>
  </si>
  <si>
    <t>3.4.4.5</t>
  </si>
  <si>
    <t>3.4.4.6</t>
  </si>
  <si>
    <t>3.4.4.7</t>
  </si>
  <si>
    <t>3.4.4.8</t>
  </si>
  <si>
    <t>Fornecimento e execução de pintura com tinta aquosa acrílica, com aspecto liso mate, ref.ª 10-250 VINYLMATT, na cor Azul claro NCS S 2010 -B (azul conforme projeto de Interior Design. A confirmar com amostra no local), sobre paredes, incluindo primário adequado, bem como todos os materiais e trabalhos necessários, de acordo com o preconizado nas peças desenhadas e escritas de projeto.
(Quarto)</t>
  </si>
  <si>
    <t>3.4.4.9</t>
  </si>
  <si>
    <t>Fornecimento e execução de pintura com tinta aquosa acrílica, com aspecto liso mate, ref.ª 10-250 VINYLMATT, na cor Azul escuro RAL 5020 (azul conforme projeto de Interior Design. A confirmar com amostra no local), sobre paredes, incluindo primário adequado, bem como todos os materiais e trabalhos necessários, de acordo com o preconizado nas peças desenhadas e escritas de projeto.
(Hall)</t>
  </si>
  <si>
    <t>3.4.4.10</t>
  </si>
  <si>
    <t>3.4.4.11</t>
  </si>
  <si>
    <t>Fornecimento e aplicação de cantoneiras metálicas (proteção contra impactos) aplicadas nas arestas vivas das paredes, com acabamento lacado na cor Azul escuro RAL 5020 (azul conforme projeto de Interior Design. A confirmar com amostra no local), incluindo primário adequado, bem como todos os materiais e trabalhos necessários, de acordo com o preconizado nas peças desenhadas e escritas de projeto.
(Hall)</t>
  </si>
  <si>
    <t>3.4.4.12</t>
  </si>
  <si>
    <t>Fornecimento e aplicação de cantoneiras metálicas (proteção contra impactos) aplicadas nas arestas vivas das paredes, com acabamento lacado na cor Azul claro NCS S 2010-B (azul conforme projeto de Interior Design. A confirmar com amostra no local), incluindo primário adequado, bem como todos os materiais e trabalhos necessários, de acordo com o preconizado nas peças desenhadas e escritas de projeto.
(Quarto)</t>
  </si>
  <si>
    <t>3.4.4.13</t>
  </si>
  <si>
    <t>Fornecimento e aplicação de cantoneiras metálicas (proteção contra impactos) aplicadas de forma invertida nas arestas vivas / remate do espelho de lavatório, com acabamento lacado na cor Azul escuro RAL 5020 (azul conforme projeto de Interior Design. A confirmar com amostra no local), incluindo primário adequado, bem como todos os materiais e trabalhos necessários, de acordo com o preconizado nas peças desenhadas e escritas de projeto.
(Lavatório Hall)</t>
  </si>
  <si>
    <t>3.4.4.14</t>
  </si>
  <si>
    <t>3.4.5</t>
  </si>
  <si>
    <t>3.4.5.1</t>
  </si>
  <si>
    <t>3.4.5.2</t>
  </si>
  <si>
    <t>3.4.5.3</t>
  </si>
  <si>
    <t>3.4.5.4</t>
  </si>
  <si>
    <t>3.4.5.5</t>
  </si>
  <si>
    <t>Fornecimento e execução de pintura com tinta aquosa acrílica, com aspecto liso mate, com aspecto liso mate, ref.ª 10-250 VINYLMATT,na cor azul escuro RAL 5020 (Conforme projeto de Interior Design. A confirmar com amostra no local), sobre tectos, sancas e frisos, incluindo primário adequado, bem como todos os materiais e trabalhos necessários, de acordo com o preconizado nas peças desenhadas e escritas de projeto. 
(Hall)</t>
  </si>
  <si>
    <t>3.4.5.6</t>
  </si>
  <si>
    <t>3.4.5.7</t>
  </si>
  <si>
    <t>3.4.5.8</t>
  </si>
  <si>
    <t>3.4.5.9</t>
  </si>
  <si>
    <t>3.4.5.10</t>
  </si>
  <si>
    <t>3.4.6</t>
  </si>
  <si>
    <t>3.4.6.1</t>
  </si>
  <si>
    <t>3.4.6.2</t>
  </si>
  <si>
    <t>3.4.7</t>
  </si>
  <si>
    <t>3.4.7.1</t>
  </si>
  <si>
    <t>3.4.7.2</t>
  </si>
  <si>
    <t>3.4.8</t>
  </si>
  <si>
    <t>3.4.8.1</t>
  </si>
  <si>
    <t>3.4.8.2</t>
  </si>
  <si>
    <t>3.4.8.3</t>
  </si>
  <si>
    <t>3.4.8.4</t>
  </si>
  <si>
    <t>Fornecimento e aplicação de móvel de apoio ao lavatório, composto por:
Estrutura em MDF hidrófugo (Estrutura em 30mm, fundo em 10 mm), revestido a HPL EGGER acabamento Nogueira Lincoln ref.H1714 ST19. Fixação com niveladores ocultos SNM.5412 (2 niveladores e 2 chapas). - 130 kg, Abertura de rasgo para aplicação de fitas LED (2700K). Dimensões L145 x P50 x A28 cm (a confirmar no local) com a madeira em 3cm de espessura em cada nível; furações para válvula torneira e tubo ladrão; alhetas, cortes, remates e todos os trabalhos e materiais necessários a um perfeito acabamento, de acordo com as peças desenhadas e recomendações do fornecedor (Conforme projeto de Interior Design. A confirmar com amostra no local). Inclui a colagem com cola adequada às superfícies a colar.</t>
  </si>
  <si>
    <t>3.4.8.5</t>
  </si>
  <si>
    <t>Bancada em Krion Snow White com 1 lavatório integrado. Bancada de 1450x500x170mm; Lavatório termomoldado com 500x300 mm, com furo ladrão, furo para torneira, incluindo duas poleias para fixações, alhetas, cortes, remates e todos os trabalhos e materiais necessários a um perfeito acabamento, de acordo com as peças desenhadas e recomendações do fornecedor (Conforme projeto de Interior Design. A confirmar com amostra no local). Inclui a colagem com cola adequada às superfícies a colar.</t>
  </si>
  <si>
    <t>3.4.8.6</t>
  </si>
  <si>
    <t>3.4.8.7</t>
  </si>
  <si>
    <t>3.4.8.8</t>
  </si>
  <si>
    <t>3.4.8.9</t>
  </si>
  <si>
    <t>3.4.8.10</t>
  </si>
  <si>
    <t>3.4.8.11</t>
  </si>
  <si>
    <t>3.4.8.12</t>
  </si>
  <si>
    <t>3.4.8.13</t>
  </si>
  <si>
    <t>3.4.8.14</t>
  </si>
  <si>
    <t>3.4.8.15</t>
  </si>
  <si>
    <t>3.4.8.16</t>
  </si>
  <si>
    <t>3.4.8.17</t>
  </si>
  <si>
    <t>3.4.8.18</t>
  </si>
  <si>
    <t>3.4.8.19</t>
  </si>
  <si>
    <t>3.4.8.20</t>
  </si>
  <si>
    <t>3.4.8.21</t>
  </si>
  <si>
    <t>3.4.8.22</t>
  </si>
  <si>
    <t>Fornecimento e colocação de base de duche ASD Planstone Slim, com acabamento na cor branca Refª 1661051015080. Dimensões de 150x100 cm. Dimensões e cortes necessários para aplicação a confirmar no local. Inclui todas as peças e acessórios necessárias ao seu bom funcionamento como válvula sifão e grelha lacada, de acordo com recomendações do fabricante, assim como todas as fixações necessárias. De acordo com o preconizado nas peças desenhadas e escritas de projeto.</t>
  </si>
  <si>
    <t>3.4.9</t>
  </si>
  <si>
    <t>3.4.91</t>
  </si>
  <si>
    <t>TOTAL QUARTO MODELO D</t>
  </si>
  <si>
    <t>TOTAL QUARTOS MODELO D - 8 unidades</t>
  </si>
  <si>
    <t>QUARTO MODELO E Nº619</t>
  </si>
  <si>
    <t>3.5.1</t>
  </si>
  <si>
    <t>3.5.1.1</t>
  </si>
  <si>
    <t>3.5.2</t>
  </si>
  <si>
    <t>3.5.2.1</t>
  </si>
  <si>
    <t>3.5.2.2</t>
  </si>
  <si>
    <t>3.5.3</t>
  </si>
  <si>
    <t>3.5.3.1</t>
  </si>
  <si>
    <t>3.5.3.2</t>
  </si>
  <si>
    <t>3.5.3.3</t>
  </si>
  <si>
    <t>3.5.3.4</t>
  </si>
  <si>
    <t>3.5.3.5</t>
  </si>
  <si>
    <t>3.5.3.6</t>
  </si>
  <si>
    <t>3.5.3.7</t>
  </si>
  <si>
    <t>3.5.3.8</t>
  </si>
  <si>
    <t>3.5.4</t>
  </si>
  <si>
    <t>3.5.4.1</t>
  </si>
  <si>
    <t>3.5.4.2</t>
  </si>
  <si>
    <t>3.5.4.3</t>
  </si>
  <si>
    <t>3.5.4.4</t>
  </si>
  <si>
    <t>3.5.4.5</t>
  </si>
  <si>
    <t>3.5.4.6</t>
  </si>
  <si>
    <t>3.5.4.7</t>
  </si>
  <si>
    <t>3.5.4.8</t>
  </si>
  <si>
    <t>3.5.4.9</t>
  </si>
  <si>
    <t>3.5.4.10</t>
  </si>
  <si>
    <t>3.5.4.11</t>
  </si>
  <si>
    <t>3.5.4.12</t>
  </si>
  <si>
    <t>3.5.4.13</t>
  </si>
  <si>
    <t>3.5.4.14</t>
  </si>
  <si>
    <t>3.5.5</t>
  </si>
  <si>
    <t>3.5.5.1</t>
  </si>
  <si>
    <t>3.5.5.2</t>
  </si>
  <si>
    <t>3.5.5.3</t>
  </si>
  <si>
    <t>3.5.5.4</t>
  </si>
  <si>
    <t>3.5.5.5</t>
  </si>
  <si>
    <t>3.5.5.6</t>
  </si>
  <si>
    <t>3.5.5.7</t>
  </si>
  <si>
    <t>3.5.5.8</t>
  </si>
  <si>
    <t>3.5.5.9</t>
  </si>
  <si>
    <t>3.5.5.10</t>
  </si>
  <si>
    <t>3.5.6</t>
  </si>
  <si>
    <t>3.5.7</t>
  </si>
  <si>
    <t>3.5.7.1</t>
  </si>
  <si>
    <t>3.5.7.2</t>
  </si>
  <si>
    <t>3.5.8</t>
  </si>
  <si>
    <t>3.5.8.1</t>
  </si>
  <si>
    <t>3.5.8.2</t>
  </si>
  <si>
    <t>3.5.8.3</t>
  </si>
  <si>
    <t>3.5.8.4</t>
  </si>
  <si>
    <t>Fornecimento e aplicação de móvel de apoio ao lavatório, composto por:
Estrutura em MDF hidrófugo (Estrutura em 30mm, fundo em 10 mm), revestido a HPL EGGER acabamento Nogueira Lincoln ref.H1714 ST19. Fixação com niveladores ocultos SNM.5412 (2 niveladores e 2 chapas). - 130 kg, Abertura de rasgo para aplicação de fitas LED (2700K). Dimensões L160 x P50 x A28 cm (a confirmar no local) com a madeira em 3cm de espessura em cada nível; furações para válvula torneira e tubo ladrão; alhetas, cortes, remates e todos os trabalhos e materiais necessários a um perfeito acabamento, de acordo com as peças desenhadas e recomendações do fornecedor (Conforme projeto de Interior Design. A confirmar com amostra no local). Inclui a colagem com cola adequada às superfícies a colar.</t>
  </si>
  <si>
    <t>3.5.8.5</t>
  </si>
  <si>
    <t>Bancada em Krion Snow White com 1 lavatório integrado. Bancada de 1600x500x170mm; Lavatório termomoldado com 500x300 mm, com furo ladrão, furo para torneira, incluindo duas poleias para fixações, alhetas, cortes, remates e todos os trabalhos e materiais necessários a um perfeito acabamento, de acordo com as peças desenhadas e recomendações do fornecedor (Conforme projeto de Interior Design. A confirmar com amostra no local). Inclui a colagem com cola adequada às superfícies a colar.</t>
  </si>
  <si>
    <t>3.5.8.6</t>
  </si>
  <si>
    <t>3.5.8.7</t>
  </si>
  <si>
    <t>3.5.8.8</t>
  </si>
  <si>
    <t>3.5.8.9</t>
  </si>
  <si>
    <t>3.5.8.10</t>
  </si>
  <si>
    <t>3.5.8.11</t>
  </si>
  <si>
    <t>3.5.8.12</t>
  </si>
  <si>
    <t>3.5.8.13</t>
  </si>
  <si>
    <t>3.5.8.14</t>
  </si>
  <si>
    <t>3.5.8.15</t>
  </si>
  <si>
    <t>3.5.8.16</t>
  </si>
  <si>
    <t>3.5.8.17</t>
  </si>
  <si>
    <t>3.5.8.18</t>
  </si>
  <si>
    <t>3.5.8.19</t>
  </si>
  <si>
    <t>3.5.8.20</t>
  </si>
  <si>
    <t>3.5.8.21</t>
  </si>
  <si>
    <t>3.5.8.22</t>
  </si>
  <si>
    <t>3.5.8.23</t>
  </si>
  <si>
    <t>Fornecimento e aplicação de porta de batente em vidro tipo Vidreira Algarvia, vidro canelado SGG 8mm Visiosun Classic, com perfis de alumínio anodizado a preto, vão fixo com dimensão variável + vão de 70cm pivotante, inclui rasgo oval para ventilação na porta, centrado na porta, com 44x6cm, afastado 17cm do topo da porta. Com dimensões a confirmar no local e altura até ao teto.  com todos os trabalhos de montagem e vedantes necessários, de acordo com o preconizado nas peças desenhadas e escritas de projeto. (Compartimento da Sanita)</t>
  </si>
  <si>
    <t>3.5.9</t>
  </si>
  <si>
    <t>3.5.9.1</t>
  </si>
  <si>
    <t xml:space="preserve">Fornecimento e aplicação de calha de LED com difusor opalino. Fita LED 2700K, IP20. Inclui transformador e todos os trabalhos e acessórios necessarios ao correto funcionamento do sistema, conforme projeto de Interior Design, projeto de Instalações elétricas e Operação.
(Móveis de apoio ao lavatório)
</t>
  </si>
  <si>
    <t>TOTAL QUARTO MODELO E</t>
  </si>
  <si>
    <t>TOTAL QUARTOS MODELO E - 3 unidades</t>
  </si>
  <si>
    <t>QUARTO MODELO F Nº722</t>
  </si>
  <si>
    <t>3.6.1</t>
  </si>
  <si>
    <t>3.6.1.1</t>
  </si>
  <si>
    <t>3.6.2</t>
  </si>
  <si>
    <t>3.6.2.1</t>
  </si>
  <si>
    <t>3.6.2.2</t>
  </si>
  <si>
    <t>3.6.3</t>
  </si>
  <si>
    <t>3.6.3.1</t>
  </si>
  <si>
    <t>3.6.3.2</t>
  </si>
  <si>
    <t>3.6.3.3</t>
  </si>
  <si>
    <t>3.6.3.4</t>
  </si>
  <si>
    <t>3.6.3.5</t>
  </si>
  <si>
    <t>3.6.3.6</t>
  </si>
  <si>
    <t>3.6.3.7</t>
  </si>
  <si>
    <t>3.6.3.8</t>
  </si>
  <si>
    <t>3.6.4</t>
  </si>
  <si>
    <t>3.6.4.1</t>
  </si>
  <si>
    <t>3.6.4.2</t>
  </si>
  <si>
    <t>3.6.4.3</t>
  </si>
  <si>
    <t>3.6.4.4</t>
  </si>
  <si>
    <t>3.6.4.5</t>
  </si>
  <si>
    <t>3.6.4.6</t>
  </si>
  <si>
    <t>3.6.4.7</t>
  </si>
  <si>
    <t>3.6.4.8</t>
  </si>
  <si>
    <t>3.6.4.9</t>
  </si>
  <si>
    <t>3.6.4.10</t>
  </si>
  <si>
    <t>3.6.4.11</t>
  </si>
  <si>
    <t>3.6.4.12</t>
  </si>
  <si>
    <t>3.6.5</t>
  </si>
  <si>
    <t>3.6.5.1</t>
  </si>
  <si>
    <t>3.6.5.2</t>
  </si>
  <si>
    <t>3.6.5.3</t>
  </si>
  <si>
    <t>3.6.5.4</t>
  </si>
  <si>
    <t>3.6.5.5</t>
  </si>
  <si>
    <t>3.6.5.6</t>
  </si>
  <si>
    <t>3.6.5.7</t>
  </si>
  <si>
    <t>3.6.5.8</t>
  </si>
  <si>
    <t>3.6.5.9</t>
  </si>
  <si>
    <t>3.6.5.10</t>
  </si>
  <si>
    <t>3.6.6</t>
  </si>
  <si>
    <t>3.6.6.1</t>
  </si>
  <si>
    <t>3.6.6.2</t>
  </si>
  <si>
    <t>3.6.7</t>
  </si>
  <si>
    <t>3.6.7.1</t>
  </si>
  <si>
    <t>3.6.7.2</t>
  </si>
  <si>
    <t>3.6.8</t>
  </si>
  <si>
    <t>3.6.8.1</t>
  </si>
  <si>
    <t>3.6.8.2</t>
  </si>
  <si>
    <t>3.6.8.3</t>
  </si>
  <si>
    <t>3.6.8.4</t>
  </si>
  <si>
    <t>Fornecimento e aplicação de móvel de apoio ao lavatório, composto por:
Estrutura em MDF hidrófugo (Estrutura em 30mm, fundo em 10 mm), revestido a HPL EGGER acabamento Nogueira Lincoln ref.H1714 ST19. Fixação com niveladores ocultos SNM.5412 (2 niveladores e 2 chapas). - 130 kg, Abertura de rasgo para aplicação de fitas LED (2700K). Dimensões L200 x P50 x A28 cm (a confirmar no local) com a madeira em 3cm de espessura em cada nível; furações para válvula torneira e tubo ladrão; alhetas, cortes, remates e todos os trabalhos e materiais necessários a um perfeito acabamento, de acordo com as peças desenhadas e recomendações do fornecedor (Conforme projeto de Interior Design. A confirmar com amostra no local). Inclui a colagem com cola adequada às superfícies a colar.</t>
  </si>
  <si>
    <t>3.6.8.5</t>
  </si>
  <si>
    <t>Bancada em Krion Snow White com 1 lavatório integrado. Bancada de 2000x500x170mm; Lavatório termomoldado com 500x300 mm, com furo ladrão, furo para torneira, incluindo duas poleias para fixações, alhetas, cortes, remates e todos os trabalhos e materiais necessários a um perfeito acabamento, de acordo com as peças desenhadas e recomendações do fornecedor (Conforme projeto de Interior Design. A confirmar com amostra no local). Inclui a colagem com cola adequada às superfícies a colar.</t>
  </si>
  <si>
    <t>3.6.8.6</t>
  </si>
  <si>
    <t>3.6.8.7</t>
  </si>
  <si>
    <t>3.6.8.8</t>
  </si>
  <si>
    <t>3.6.8.9</t>
  </si>
  <si>
    <t>3.6.8.10</t>
  </si>
  <si>
    <t>3.6.8.11</t>
  </si>
  <si>
    <t>3.6.8.12</t>
  </si>
  <si>
    <t>3.6.8.13</t>
  </si>
  <si>
    <t>3.6.8.14</t>
  </si>
  <si>
    <t>3.6.8.15</t>
  </si>
  <si>
    <t>3.6.8.16</t>
  </si>
  <si>
    <t>3.6.8.17</t>
  </si>
  <si>
    <t>3.6.8.18</t>
  </si>
  <si>
    <t>3.6.8.19</t>
  </si>
  <si>
    <t>3.6.8.20</t>
  </si>
  <si>
    <t>3.6.8.21</t>
  </si>
  <si>
    <t>3.6.8.22</t>
  </si>
  <si>
    <t>Fornecimento e colocação de base de duche ASD Planstone Slim, com acabamento na cor branca Refª 1661051015080. Dimensões de 150x80 cm. Dimensões e cortes necessários para aplicação a confirmar no local. Inclui todas as peças e acessórios necessárias ao seu bom funcionamento como válvula sifão e grelha lacada, de acordo com recomendações do fabricante, assim como todas as fixações necessárias. De acordo com o preconizado nas peças desenhadas e escritas de projeto.</t>
  </si>
  <si>
    <t>3.6.9</t>
  </si>
  <si>
    <t>3.6.9.1</t>
  </si>
  <si>
    <t>TOTAL QUARTO MODELO F</t>
  </si>
  <si>
    <t>TOTAL QUARTOS MODELO F</t>
  </si>
  <si>
    <t>QUARTO MODELO G Nº628</t>
  </si>
  <si>
    <t>3.7.1</t>
  </si>
  <si>
    <t>3.7.1.1</t>
  </si>
  <si>
    <t>3.7.2</t>
  </si>
  <si>
    <t>3.7.2.1</t>
  </si>
  <si>
    <t>3.7.2.2</t>
  </si>
  <si>
    <t>3.7.3</t>
  </si>
  <si>
    <t>3.7.3.1</t>
  </si>
  <si>
    <t>3.7.3.2</t>
  </si>
  <si>
    <t>3.7.3.3</t>
  </si>
  <si>
    <t>3.7.3.4</t>
  </si>
  <si>
    <t>3.7.3.5</t>
  </si>
  <si>
    <t>3.7.3.6</t>
  </si>
  <si>
    <t>3.7.3.7</t>
  </si>
  <si>
    <t>3.7.3.8</t>
  </si>
  <si>
    <t>3.7.4</t>
  </si>
  <si>
    <t>3.7.4.1</t>
  </si>
  <si>
    <t>3.7.4.2</t>
  </si>
  <si>
    <t>3.7.4.3</t>
  </si>
  <si>
    <t>3.7.4.4</t>
  </si>
  <si>
    <t>3.7.4.5</t>
  </si>
  <si>
    <t>3.7.4.6</t>
  </si>
  <si>
    <t>3.7.4.7</t>
  </si>
  <si>
    <t>3.7.4.8</t>
  </si>
  <si>
    <t>3.7.4.9</t>
  </si>
  <si>
    <t>3.7.4.10</t>
  </si>
  <si>
    <t>3.7.4.11</t>
  </si>
  <si>
    <t>3.7.4.12</t>
  </si>
  <si>
    <t>3.7.4.13</t>
  </si>
  <si>
    <t>3.7.4.14</t>
  </si>
  <si>
    <t>3.7.5</t>
  </si>
  <si>
    <t>3.7.5.1</t>
  </si>
  <si>
    <t>3.7.5.2</t>
  </si>
  <si>
    <t>3.7.5.3</t>
  </si>
  <si>
    <t>3.7.5.4</t>
  </si>
  <si>
    <t>3.7.5.5</t>
  </si>
  <si>
    <t>3.7.5.6</t>
  </si>
  <si>
    <t>3.7.5.7</t>
  </si>
  <si>
    <t>3.7.5.8</t>
  </si>
  <si>
    <t>3.7.5.9</t>
  </si>
  <si>
    <t>3.7.5.10</t>
  </si>
  <si>
    <t>3.7.6</t>
  </si>
  <si>
    <t>3.7.6.1</t>
  </si>
  <si>
    <t>3.7.6.2</t>
  </si>
  <si>
    <t>3.7.7</t>
  </si>
  <si>
    <t>3.7.7.1</t>
  </si>
  <si>
    <t>3.7.7.2</t>
  </si>
  <si>
    <t>3.7.8</t>
  </si>
  <si>
    <t>3.7.8.1</t>
  </si>
  <si>
    <t>3.7.8.2</t>
  </si>
  <si>
    <t>3.7.8.3</t>
  </si>
  <si>
    <t>3.7.8.4</t>
  </si>
  <si>
    <t>Fornecimento e aplicação de móvel de apoio ao lavatório, composto por:
Estrutura em MDF hidrófugo (Estrutura em 30mm, fundo em 10 mm), revestido a HPL EGGER acabamento Nogueira Lincoln ref.H1714 ST19. Fixação com niveladores ocultos SNM.5412 (2 niveladores e 2 chapas). - 130 kg, Abertura de rasgo para aplicação de fitas LED (2700K). Dimensões L170 x P50 x A28 cm (a confirmar no local) com a madeira em 3cm de espessura em cada nível; furações para válvula torneira e tubo ladrão; alhetas, cortes, remates e todos os trabalhos e materiais necessários a um perfeito acabamento, de acordo com as peças desenhadas e recomendações do fornecedor (Conforme projeto de Interior Design. A confirmar com amostra no local). Inclui a colagem com cola adequada às superfícies a colar.</t>
  </si>
  <si>
    <t>3.7.8.5</t>
  </si>
  <si>
    <t>Bancada em Krion Snow White com 1 lavatório integrado. Bancada de 1700x500x170mm; Lavatório termomoldado com 500x300 mm, com furo ladrão, furo para torneira, incluindo duas poleias para fixações, alhetas, cortes, remates e todos os trabalhos e materiais necessários a um perfeito acabamento, de acordo com as peças desenhadas e recomendações do fornecedor (Conforme projeto de Interior Design. A confirmar com amostra no local). Inclui a colagem com cola adequada às superfícies a colar.</t>
  </si>
  <si>
    <t>3.7.8.6</t>
  </si>
  <si>
    <t>3.7.8.7</t>
  </si>
  <si>
    <t>3.7.8.8</t>
  </si>
  <si>
    <t>3.7.8.9</t>
  </si>
  <si>
    <t>3.7.8.10</t>
  </si>
  <si>
    <t>3.7.8.11</t>
  </si>
  <si>
    <t>3.7.8.12</t>
  </si>
  <si>
    <t>3.7.8.13</t>
  </si>
  <si>
    <t>3.7.8.14</t>
  </si>
  <si>
    <t>3.7.8.15</t>
  </si>
  <si>
    <t>3.7.8.16</t>
  </si>
  <si>
    <t>3.7.8.17</t>
  </si>
  <si>
    <t>3.7.8.18</t>
  </si>
  <si>
    <t>3.7.8.19</t>
  </si>
  <si>
    <t>3.7.8.20</t>
  </si>
  <si>
    <t>3.7.8.21</t>
  </si>
  <si>
    <t>3.7.8.22</t>
  </si>
  <si>
    <t>Fornecimento e colocação de base de duche ASD Planstone Slim, com acabamento na cor branca Refª 1661051015080. Dimensões de 150x165 cm. Dimensões e cortes necessários para aplicação a confirmar no local. Inclui todas as peças e acessórios necessárias ao seu bom funcionamento como válvula sifão e grelha lacada, de acordo com recomendações do fabricante, assim como todas as fixações necessárias. De acordo com o preconizado nas peças desenhadas e escritas de projeto.</t>
  </si>
  <si>
    <t>3.7.8.23</t>
  </si>
  <si>
    <t>Fornecimento e colocação de Banheira. (I.S. zona de duche)</t>
  </si>
  <si>
    <t>3.7.9</t>
  </si>
  <si>
    <t>3.7.9.1</t>
  </si>
  <si>
    <t>TOTAL QUARTO MODELO G</t>
  </si>
  <si>
    <t>TOTAL QUARTOS MODELO G - 5 UNIDADES</t>
  </si>
  <si>
    <t>QUARTO MODELO H Nº625</t>
  </si>
  <si>
    <t>3.8.1</t>
  </si>
  <si>
    <t>3.8.1.1</t>
  </si>
  <si>
    <t>3.8.2</t>
  </si>
  <si>
    <t>3.8.2.1</t>
  </si>
  <si>
    <t>3.8.2.2</t>
  </si>
  <si>
    <t>3.8.3</t>
  </si>
  <si>
    <t>3.8.3.1</t>
  </si>
  <si>
    <t>3.8.3.2</t>
  </si>
  <si>
    <t>3.8.3.3</t>
  </si>
  <si>
    <t>3.8.3.4</t>
  </si>
  <si>
    <t>3.8.3.5</t>
  </si>
  <si>
    <t>3.8.3.6</t>
  </si>
  <si>
    <t>3.8.3.7</t>
  </si>
  <si>
    <t>3.8.3.8</t>
  </si>
  <si>
    <t>3.8.4</t>
  </si>
  <si>
    <t>3.8.4.1</t>
  </si>
  <si>
    <t>3.8.4.2</t>
  </si>
  <si>
    <t>3.8.4.3</t>
  </si>
  <si>
    <t>3.8.4.4</t>
  </si>
  <si>
    <t>3.8.4.5</t>
  </si>
  <si>
    <t>3.8.4.6</t>
  </si>
  <si>
    <t>3.8.4.7</t>
  </si>
  <si>
    <t>3.8.4.8</t>
  </si>
  <si>
    <t>3.8.4.9</t>
  </si>
  <si>
    <t>3.8.4.10</t>
  </si>
  <si>
    <t>3.8.4.11</t>
  </si>
  <si>
    <t>3.8.4.12</t>
  </si>
  <si>
    <t>3.8.4.13</t>
  </si>
  <si>
    <t>3.8.4.14</t>
  </si>
  <si>
    <t>3.8.4.15</t>
  </si>
  <si>
    <t>3.8.5</t>
  </si>
  <si>
    <t>3.8.5.1</t>
  </si>
  <si>
    <t>3.8.5.2</t>
  </si>
  <si>
    <t>3.8.5.3</t>
  </si>
  <si>
    <t>3.8.5.4</t>
  </si>
  <si>
    <t>3.8.5.5</t>
  </si>
  <si>
    <t>3.8.5.6</t>
  </si>
  <si>
    <t>3.8.5.7</t>
  </si>
  <si>
    <t>3.8.5.8</t>
  </si>
  <si>
    <t>3.8.5.9</t>
  </si>
  <si>
    <t>3.8.5.10</t>
  </si>
  <si>
    <t>3.8.6</t>
  </si>
  <si>
    <t>3.8.6.1</t>
  </si>
  <si>
    <t>3.8.6.2</t>
  </si>
  <si>
    <t>3.8.7</t>
  </si>
  <si>
    <t>3.8.7.1</t>
  </si>
  <si>
    <t>3.8.7.2</t>
  </si>
  <si>
    <t>3.8.8</t>
  </si>
  <si>
    <t>3.8.8.1</t>
  </si>
  <si>
    <t>3.8.8.2</t>
  </si>
  <si>
    <t>3.8.8.3</t>
  </si>
  <si>
    <t>3.8.8.4</t>
  </si>
  <si>
    <t>3.8.8.5</t>
  </si>
  <si>
    <t>3.8.8.6</t>
  </si>
  <si>
    <t>3.8.8.7</t>
  </si>
  <si>
    <t>3.8.8.8</t>
  </si>
  <si>
    <t>3.8.8.9</t>
  </si>
  <si>
    <t>3.8.8.10</t>
  </si>
  <si>
    <t>3.8.8.11</t>
  </si>
  <si>
    <t>3.8.8.12</t>
  </si>
  <si>
    <t>3.8.8.13</t>
  </si>
  <si>
    <t>3.8.8.14</t>
  </si>
  <si>
    <t>3.8.8.15</t>
  </si>
  <si>
    <t>3.8.8.16</t>
  </si>
  <si>
    <t>3.8.8.17</t>
  </si>
  <si>
    <t>3.8.8.18</t>
  </si>
  <si>
    <t>3.8.8.19</t>
  </si>
  <si>
    <t>3.8.8.20</t>
  </si>
  <si>
    <t>3.8.8.21</t>
  </si>
  <si>
    <t>3.8.8.22</t>
  </si>
  <si>
    <t>Fornecimento e colocação de base de duche ASD Planstone Slim, com acabamento na cor branca Refª 1661051015080. Dimensões de 120x100 cm. Dimensões e cortes necessários para aplicação a confirmar no local. Inclui todas as peças e acessórios necessárias ao seu bom funcionamento como válvula sifão e grelha lacada, de acordo com recomendações do fabricante, assim como todas as fixações necessárias. De acordo com o preconizado nas peças desenhadas e escritas de projeto.</t>
  </si>
  <si>
    <t>3.8.8.23</t>
  </si>
  <si>
    <t>3.8.9</t>
  </si>
  <si>
    <t>3.8.9.1</t>
  </si>
  <si>
    <t xml:space="preserve">Fornecimento e aplicação de calha de LED com difusor opalino. Fita LED 2700K, IP65. Inclui transformador e todos os trabalhos e acessórios necessarios ao correto funcionamento do sistema, conforme projeto de Interior Design, projeto de Instalações elétricas e Operação.
(Móveis de apoio ao lavatório)
</t>
  </si>
  <si>
    <t>TOTAL QUARTO MODELO H</t>
  </si>
  <si>
    <t>TOTAL QUARTOS MODELO H - 4 UNIDADES</t>
  </si>
  <si>
    <t>QUARTO MODELO I Nº666</t>
  </si>
  <si>
    <t>3.9.1</t>
  </si>
  <si>
    <t>3.9.1.1</t>
  </si>
  <si>
    <t>3.9.2</t>
  </si>
  <si>
    <t>3.9.2.1</t>
  </si>
  <si>
    <t>3.9.2.2</t>
  </si>
  <si>
    <t>3.9.3</t>
  </si>
  <si>
    <t>3.9.3.1</t>
  </si>
  <si>
    <t>3.9.3.2</t>
  </si>
  <si>
    <t>3.9.3.3</t>
  </si>
  <si>
    <t>3.9.3.4</t>
  </si>
  <si>
    <t>3.9.3.5</t>
  </si>
  <si>
    <t>3.9.3.6</t>
  </si>
  <si>
    <t>3.9.3.7</t>
  </si>
  <si>
    <t>3.9.3.8</t>
  </si>
  <si>
    <t>3.9.4</t>
  </si>
  <si>
    <t>3.9.4.1</t>
  </si>
  <si>
    <t>3.9.4.2</t>
  </si>
  <si>
    <t>3.9.4.3</t>
  </si>
  <si>
    <t>3.9.4.4</t>
  </si>
  <si>
    <t>3.9.4.5</t>
  </si>
  <si>
    <t>3.9.4.6</t>
  </si>
  <si>
    <t>3.9.4.7</t>
  </si>
  <si>
    <t>3.9.4.8</t>
  </si>
  <si>
    <t>3.9.4.9</t>
  </si>
  <si>
    <t>3.9.4.10</t>
  </si>
  <si>
    <t>3.9.4.11</t>
  </si>
  <si>
    <t>3.9.4.12</t>
  </si>
  <si>
    <t>3.9.4.13</t>
  </si>
  <si>
    <t>3.9.4.14</t>
  </si>
  <si>
    <t>3.9.4.15</t>
  </si>
  <si>
    <t>3.9.5</t>
  </si>
  <si>
    <t>3.9.5.1</t>
  </si>
  <si>
    <t>3.9.5.2</t>
  </si>
  <si>
    <t>3.9.5.3</t>
  </si>
  <si>
    <t>3.9.5.4</t>
  </si>
  <si>
    <t>3.9.5.5</t>
  </si>
  <si>
    <t>3.9.5.6</t>
  </si>
  <si>
    <t>3.9.5.7</t>
  </si>
  <si>
    <t>3.9.5.8</t>
  </si>
  <si>
    <t>3.9.5.9</t>
  </si>
  <si>
    <t>3.9.5.10</t>
  </si>
  <si>
    <t>3.9.6</t>
  </si>
  <si>
    <t>3.9.6.1</t>
  </si>
  <si>
    <t>3.9.6.2</t>
  </si>
  <si>
    <t>3.9.7</t>
  </si>
  <si>
    <t>3.9.7.1</t>
  </si>
  <si>
    <t>3.9.7.2</t>
  </si>
  <si>
    <t>3.9.8</t>
  </si>
  <si>
    <t>3.9.8.1</t>
  </si>
  <si>
    <t>3.9.8.2</t>
  </si>
  <si>
    <t>3.9.8.3</t>
  </si>
  <si>
    <t>3.9.8.5</t>
  </si>
  <si>
    <t>Fornecimento e aplicação de móvel de apoio ao lavatório, composto por:
Estrutura em MDF hidrófugo (Estrutura em 30mm, fundo em 10 mm), revestido a HPL EGGER acabamento Nogueira Lincoln ref.H1714 ST19. Fixação com niveladores ocultos SNM.5412 (2 niveladores e 2 chapas). - 130 kg, Abertura de rasgo para aplicação de fitas LED (2700K). Dimensões L157 x P50 x A28 cm (a confirmar no local) com a madeira em 3cm de espessura em cada nível; furações para válvula torneira e tubo ladrão; alhetas, cortes, remates e todos os trabalhos e materiais necessários a um perfeito acabamento, de acordo com as peças desenhadas e recomendações do fornecedor (Conforme projeto de Interior Design. A confirmar com amostra no local). Inclui a colagem com cola adequada às superfícies a colar.</t>
  </si>
  <si>
    <t>3.9.8.6</t>
  </si>
  <si>
    <t>Bancada em Krion Snow White com 1 lavatório integrado. Bancada de 1570x500x170mm; Lavatório termomoldado com 500x300 mm, com furo ladrão, furo para torneira, incluindo duas poleias para fixações, alhetas, cortes, remates e todos os trabalhos e materiais necessários a um perfeito acabamento, de acordo com as peças desenhadas e recomendações do fornecedor (Conforme projeto de Interior Design. A confirmar com amostra no local). Inclui a colagem com cola adequada às superfícies a colar.</t>
  </si>
  <si>
    <t>3.9.8.7</t>
  </si>
  <si>
    <t>3.9.8.8</t>
  </si>
  <si>
    <t>3.9.8.9</t>
  </si>
  <si>
    <t>3.9.8.10</t>
  </si>
  <si>
    <t>3.9.8.11</t>
  </si>
  <si>
    <t>3.9.8.12</t>
  </si>
  <si>
    <t>3.9.8.13</t>
  </si>
  <si>
    <t>3.9.8.14</t>
  </si>
  <si>
    <t>3.9.8.15</t>
  </si>
  <si>
    <t>3.9.8.16</t>
  </si>
  <si>
    <t>3.9.8.17</t>
  </si>
  <si>
    <t>3.9.8.18</t>
  </si>
  <si>
    <t>3.9.8.19</t>
  </si>
  <si>
    <t>3.9.8.20</t>
  </si>
  <si>
    <t>3.9.8.21</t>
  </si>
  <si>
    <t>3.9.8.22</t>
  </si>
  <si>
    <t>3.9.8.23</t>
  </si>
  <si>
    <t>3.9.9</t>
  </si>
  <si>
    <t>3.9.9.1</t>
  </si>
  <si>
    <t>TOTAL QUARTO MODELO I</t>
  </si>
  <si>
    <t>TOTAL QUARTOS MODELO I - 13 UNIDADES</t>
  </si>
  <si>
    <t>QUARTO MODELO J Nº650</t>
  </si>
  <si>
    <t>3.10.1</t>
  </si>
  <si>
    <t>3.10.1.1</t>
  </si>
  <si>
    <t>3.10.2</t>
  </si>
  <si>
    <t>3.10.2.1</t>
  </si>
  <si>
    <t>3.10.2.2</t>
  </si>
  <si>
    <t>3.10.3</t>
  </si>
  <si>
    <t>3.10.3.1</t>
  </si>
  <si>
    <t>3.10.3.2</t>
  </si>
  <si>
    <t>3.10.3.3</t>
  </si>
  <si>
    <t>3.10.3.4</t>
  </si>
  <si>
    <t>3.10.3.5</t>
  </si>
  <si>
    <t>3.10.3.6</t>
  </si>
  <si>
    <t>3.10.3.7</t>
  </si>
  <si>
    <t>3.10.3.8</t>
  </si>
  <si>
    <t>3.10.4</t>
  </si>
  <si>
    <t>3.10.4.1</t>
  </si>
  <si>
    <t>3.10.4.2</t>
  </si>
  <si>
    <t>3.10.4.3</t>
  </si>
  <si>
    <t>3.10.4.4</t>
  </si>
  <si>
    <t>3.10.4.5</t>
  </si>
  <si>
    <t>3.10.4.6</t>
  </si>
  <si>
    <t>3.10.4.7</t>
  </si>
  <si>
    <t>3.10.4.8</t>
  </si>
  <si>
    <t>3.10.4.9</t>
  </si>
  <si>
    <t>3.10.4.10</t>
  </si>
  <si>
    <t>3.10.4.11</t>
  </si>
  <si>
    <t>3.10.4.12</t>
  </si>
  <si>
    <t>3.10.4.13</t>
  </si>
  <si>
    <t>3.10.5</t>
  </si>
  <si>
    <t>3.10.6</t>
  </si>
  <si>
    <t>3.10.6.1</t>
  </si>
  <si>
    <t>3.10.6.2</t>
  </si>
  <si>
    <t>3.10.7</t>
  </si>
  <si>
    <t>3.10.7.1</t>
  </si>
  <si>
    <t>3.10.7.2</t>
  </si>
  <si>
    <t>3.10.8</t>
  </si>
  <si>
    <t>3.10.8.1</t>
  </si>
  <si>
    <t>3.10.8.2</t>
  </si>
  <si>
    <t>3.10.8.3</t>
  </si>
  <si>
    <t>3.10.8.5</t>
  </si>
  <si>
    <t>Fornecimento e aplicação de móvel de apoio ao lavatório, composto por:
Estrutura em MDF hidrófugo (Estrutura em 30mm, fundo em 10 mm), revestido a HPL EGGER acabamento Nogueira Lincoln ref.H1714 ST19. Fixação com niveladores ocultos SNM.5412 (2 niveladores e 2 chapas). - 130 kg, Abertura de rasgo para aplicação de fitas LED (2700K). Dimensões L151 x P50 x A28 cm (a confirmar no local) com a madeira em 3cm de espessura em cada nível; furações para válvula torneira e tubo ladrão; alhetas, cortes, remates e todos os trabalhos e materiais necessários a um perfeito acabamento, de acordo com as peças desenhadas e recomendações do fornecedor (Conforme projeto de Interior Design. A confirmar com amostra no local). Inclui a colagem com cola adequada às superfícies a colar.</t>
  </si>
  <si>
    <t>3.10.8.6</t>
  </si>
  <si>
    <t>Bancada em Krion Snow White com 1 lavatório integrado. Bancada de 1510x500x170mm; Lavatório termomoldado com 500x300 mm, com furo ladrão, furo para torneira, incluindo duas poleias para fixações, alhetas, cortes, remates e todos os trabalhos e materiais necessários a um perfeito acabamento, de acordo com as peças desenhadas e recomendações do fornecedor (Conforme projeto de Interior Design. A confirmar com amostra no local). Inclui a colagem com cola adequada às superfícies a colar.</t>
  </si>
  <si>
    <t>3.10.8.7</t>
  </si>
  <si>
    <t>3.10.8.8</t>
  </si>
  <si>
    <t>3.10.8.9</t>
  </si>
  <si>
    <t>3.10.8.10</t>
  </si>
  <si>
    <t>3.10.8.11</t>
  </si>
  <si>
    <t>3.10.8.12</t>
  </si>
  <si>
    <t>3.10.8.13</t>
  </si>
  <si>
    <t>3.10.8.14</t>
  </si>
  <si>
    <t>3.10.8.15</t>
  </si>
  <si>
    <t>3.10.8.16</t>
  </si>
  <si>
    <t>3.10.8.17</t>
  </si>
  <si>
    <t>3.10.8.18</t>
  </si>
  <si>
    <t>3.10.8.19</t>
  </si>
  <si>
    <t>3.10.8.20</t>
  </si>
  <si>
    <t>3.10.8.21</t>
  </si>
  <si>
    <t>3.10.8.22</t>
  </si>
  <si>
    <t>3.10.8.23</t>
  </si>
  <si>
    <t>Fornecimento e colocação de base de duche ASD Planstone Slim, com acabamento na cor branca Refª 1661051015080. Dimensões de 155x120 cm. Dimensões e cortes necessários para aplicação a confirmar no local. Inclui todas as peças e acessórios necessárias ao seu bom funcionamento como válvula sifão e grelha lacada, de acordo com recomendações do fabricante, assim como todas as fixações necessárias. De acordo com o preconizado nas peças desenhadas e escritas de projeto.</t>
  </si>
  <si>
    <t>3.10.9</t>
  </si>
  <si>
    <t>3.10.9.1</t>
  </si>
  <si>
    <t>TOTAL QUARTO MODELO J</t>
  </si>
  <si>
    <t>TOTAL QUARTOS MODELO J - 6 unidades</t>
  </si>
  <si>
    <t>QUARTO MODELO K Nº223</t>
  </si>
  <si>
    <t>3.11.1</t>
  </si>
  <si>
    <t>3.11.1.1</t>
  </si>
  <si>
    <t>3.11.2</t>
  </si>
  <si>
    <t>3.11.2.1</t>
  </si>
  <si>
    <t>3.11.2.2</t>
  </si>
  <si>
    <t>3.11.3</t>
  </si>
  <si>
    <t>3.11.3.1</t>
  </si>
  <si>
    <t>3.11.3.2</t>
  </si>
  <si>
    <t>3.11.3.3</t>
  </si>
  <si>
    <t>3.11.3.4</t>
  </si>
  <si>
    <t>3.11.3.5</t>
  </si>
  <si>
    <t>3.11.3.6</t>
  </si>
  <si>
    <t>3.11.3.7</t>
  </si>
  <si>
    <t>3.11.3.8</t>
  </si>
  <si>
    <t>3.11.4</t>
  </si>
  <si>
    <t>3.11.4.1</t>
  </si>
  <si>
    <t>3.11.4.2</t>
  </si>
  <si>
    <t>3.11.4.3</t>
  </si>
  <si>
    <t>3.11.4.5</t>
  </si>
  <si>
    <t>3.11.4.6</t>
  </si>
  <si>
    <t>3.11.4.7</t>
  </si>
  <si>
    <t>3.11.4.8</t>
  </si>
  <si>
    <t>3.11.4.9</t>
  </si>
  <si>
    <t>3.11.4.10</t>
  </si>
  <si>
    <t>3.11.4.11</t>
  </si>
  <si>
    <t>3.11.4.12</t>
  </si>
  <si>
    <t>3.11.4.13</t>
  </si>
  <si>
    <t>3.11.4.14</t>
  </si>
  <si>
    <t>3.11.5</t>
  </si>
  <si>
    <t>3.11.5.1</t>
  </si>
  <si>
    <t>3.11.5.2</t>
  </si>
  <si>
    <t>3.11.5.3</t>
  </si>
  <si>
    <t>3.11.5.4</t>
  </si>
  <si>
    <t>3.11.5.5</t>
  </si>
  <si>
    <t>3.11.5.6</t>
  </si>
  <si>
    <t>3.11.5.7</t>
  </si>
  <si>
    <t>3.11.5.8</t>
  </si>
  <si>
    <t>3.11.5.9</t>
  </si>
  <si>
    <t>3.11.5.10</t>
  </si>
  <si>
    <t>3.11.6</t>
  </si>
  <si>
    <t>3.11.6.1</t>
  </si>
  <si>
    <t>3.11.7</t>
  </si>
  <si>
    <t>3.11.8</t>
  </si>
  <si>
    <t>3.11.8.1</t>
  </si>
  <si>
    <t>3.11.8.2</t>
  </si>
  <si>
    <t>3.11.8.3</t>
  </si>
  <si>
    <t>3.11.8.4</t>
  </si>
  <si>
    <t>3.11.8.5</t>
  </si>
  <si>
    <t>3.11.8.6</t>
  </si>
  <si>
    <t>3.11.8.7</t>
  </si>
  <si>
    <t>3.11.8.8</t>
  </si>
  <si>
    <t>3.11.8.9</t>
  </si>
  <si>
    <t>3.11.8.10</t>
  </si>
  <si>
    <t>3.11.8.11</t>
  </si>
  <si>
    <t>3.11.8.12</t>
  </si>
  <si>
    <t>3.11.8.13</t>
  </si>
  <si>
    <t>3.11.8.14</t>
  </si>
  <si>
    <t>3.11.8.15</t>
  </si>
  <si>
    <t>3.11.8.16</t>
  </si>
  <si>
    <t>3.11.8.17</t>
  </si>
  <si>
    <t>3.11.8.18</t>
  </si>
  <si>
    <t>3.11.8.19</t>
  </si>
  <si>
    <t>3.11.8.20</t>
  </si>
  <si>
    <t>3.11.8.21</t>
  </si>
  <si>
    <t>3.11.8.22</t>
  </si>
  <si>
    <t>Fornecimento e colocação de base de duche ASD Planstone Slim, com acabamento na cor branca Refª 1661051015080. Dimensões de 170x80 cm. Dimensões e cortes necessários para aplicação a confirmar no local. Inclui todas as peças e acessórios necessárias ao seu bom funcionamento como válvula sifão e grelha lacada, de acordo com recomendações do fabricante, assim como todas as fixações necessárias. De acordo com o preconizado nas peças desenhadas e escritas de projeto.</t>
  </si>
  <si>
    <t>3.11.9</t>
  </si>
  <si>
    <t>3.11.9.1</t>
  </si>
  <si>
    <t>TOTAL QUARTO MODELO K</t>
  </si>
  <si>
    <t>TOTAL QUARTOS MODELO K - 6 unidades</t>
  </si>
  <si>
    <t>QUARTO MODELO L Nº221</t>
  </si>
  <si>
    <t>3.12.1</t>
  </si>
  <si>
    <t>3.12.1.1</t>
  </si>
  <si>
    <t>3.12.2</t>
  </si>
  <si>
    <t>3.12.2.1</t>
  </si>
  <si>
    <t>3.12.2.2</t>
  </si>
  <si>
    <t>3.12.3</t>
  </si>
  <si>
    <t>3.12.3.1</t>
  </si>
  <si>
    <t>3.12.3.2</t>
  </si>
  <si>
    <t>3.12.3.3</t>
  </si>
  <si>
    <t>3.12.3.4</t>
  </si>
  <si>
    <t>3.12.3.5</t>
  </si>
  <si>
    <t>3.12.3.6</t>
  </si>
  <si>
    <t>3.12.3.7</t>
  </si>
  <si>
    <t>3.12.3.8</t>
  </si>
  <si>
    <t>3.12.4</t>
  </si>
  <si>
    <t>13.12.4.1</t>
  </si>
  <si>
    <t>13.12.4.2</t>
  </si>
  <si>
    <t>3.12.4.3</t>
  </si>
  <si>
    <t>3.12.4.4</t>
  </si>
  <si>
    <t>3.12.4.5</t>
  </si>
  <si>
    <t>3.12.4.6</t>
  </si>
  <si>
    <t>3.12.4.7</t>
  </si>
  <si>
    <t>3.12.4.8</t>
  </si>
  <si>
    <t>3.12.4.9</t>
  </si>
  <si>
    <t>3.12.4.10</t>
  </si>
  <si>
    <t>3.12.4.11</t>
  </si>
  <si>
    <t>3.12.4.13</t>
  </si>
  <si>
    <t>3.12.5</t>
  </si>
  <si>
    <t>3.12.5.1</t>
  </si>
  <si>
    <t>3.12.5.2</t>
  </si>
  <si>
    <t>3.12.5.3</t>
  </si>
  <si>
    <t>3.12.5.4</t>
  </si>
  <si>
    <t>3.12.5.5</t>
  </si>
  <si>
    <t>3.12.5.6</t>
  </si>
  <si>
    <t>3.12.5.7</t>
  </si>
  <si>
    <t>3.12.5.8</t>
  </si>
  <si>
    <t>3.12.5.9</t>
  </si>
  <si>
    <t>3.12.5.10</t>
  </si>
  <si>
    <t>3.12.6</t>
  </si>
  <si>
    <t>3.12.6.1</t>
  </si>
  <si>
    <t>3.12.6.2</t>
  </si>
  <si>
    <t>3.12.7</t>
  </si>
  <si>
    <t>3.12.7.1</t>
  </si>
  <si>
    <t>3.12.7.2</t>
  </si>
  <si>
    <t>3.12.8</t>
  </si>
  <si>
    <t>3.12.8.1</t>
  </si>
  <si>
    <t>3.12.8.2</t>
  </si>
  <si>
    <t>3.12.8.3</t>
  </si>
  <si>
    <t>3.12.8.4</t>
  </si>
  <si>
    <t>Fornecimento e aplicação de móvel de apoio ao lavatório, composto por:
Estrutura em MDF hidrófugo (Estrutura em 30mm, fundo em 10 mm), revestido a HPL EGGER acabamento Nogueira Lincoln ref.H1714 ST19. Fixação com niveladores ocultos SNM.5412 (2 niveladores e 2 chapas). - 130 kg, Abertura de rasgo para aplicação de fitas LED (2700K). Dimensões L165 x P50 x A28 cm (a confirmar no local) com a madeira em 3cm de espessura em cada nível; furações para válvula torneira e tubo ladrão; alhetas, cortes, remates e todos os trabalhos e materiais necessários a um perfeito acabamento, de acordo com as peças desenhadas e recomendações do fornecedor (Conforme projeto de Interior Design. A confirmar com amostra no local). Inclui a colagem com cola adequada às superfícies a colar.</t>
  </si>
  <si>
    <t>3.12.8.5</t>
  </si>
  <si>
    <t>Bancada em Krion Snow White com 1 lavatório integrado. Bancada de 1650x500x170mm; Lavatório termomoldado com 500x300 mm, com furo ladrão, furo para torneira, incluindo duas poleias para fixações, alhetas, cortes, remates e todos os trabalhos e materiais necessários a um perfeito acabamento, de acordo com as peças desenhadas e recomendações do fornecedor (Conforme projeto de Interior Design. A confirmar com amostra no local). Inclui a colagem com cola adequada às superfícies a colar.</t>
  </si>
  <si>
    <t>3.12.8.6</t>
  </si>
  <si>
    <t>3.12.8.7</t>
  </si>
  <si>
    <t>3.12.8.8</t>
  </si>
  <si>
    <t>3.12.8.9</t>
  </si>
  <si>
    <t>3.12.8.10</t>
  </si>
  <si>
    <t>3.12.8.11</t>
  </si>
  <si>
    <t>3.12.8.12</t>
  </si>
  <si>
    <t>3.12.8.13</t>
  </si>
  <si>
    <t>3.12.8.14</t>
  </si>
  <si>
    <t>3.12.8.15</t>
  </si>
  <si>
    <t>3.12.8.16</t>
  </si>
  <si>
    <t>3.12.8.17</t>
  </si>
  <si>
    <t>3.12.8.18</t>
  </si>
  <si>
    <t>3.12.8.19</t>
  </si>
  <si>
    <t>3.12.8.20</t>
  </si>
  <si>
    <t>3.12.8.21</t>
  </si>
  <si>
    <t>3.12.8.22</t>
  </si>
  <si>
    <t>3.12.9</t>
  </si>
  <si>
    <t>3.12.10</t>
  </si>
  <si>
    <t>TOTAL QUARTO MODELO L</t>
  </si>
  <si>
    <t>TOTAL QUARTOS MODELO L - 6 unidades</t>
  </si>
  <si>
    <t>QUARTO MODELO M Nº230</t>
  </si>
  <si>
    <t>3.13.1</t>
  </si>
  <si>
    <t>3.13.1.1</t>
  </si>
  <si>
    <t>3.13.2</t>
  </si>
  <si>
    <t>3.13.2.1</t>
  </si>
  <si>
    <t>3.13.2.2</t>
  </si>
  <si>
    <t>3.13.3</t>
  </si>
  <si>
    <t>3.13.3.1</t>
  </si>
  <si>
    <t>3.13.3.2</t>
  </si>
  <si>
    <t>3.13.3.3</t>
  </si>
  <si>
    <t>3.13.3.4</t>
  </si>
  <si>
    <t>3.13.3.5</t>
  </si>
  <si>
    <t>3.13.3.6</t>
  </si>
  <si>
    <t>3.13.3.7</t>
  </si>
  <si>
    <t>3.13.3.8</t>
  </si>
  <si>
    <t>3.13.4</t>
  </si>
  <si>
    <t>3.13.4.1</t>
  </si>
  <si>
    <t>3.13.4.2</t>
  </si>
  <si>
    <t>3.13.4.3</t>
  </si>
  <si>
    <t>3.13.4.4</t>
  </si>
  <si>
    <t>3.13.4.5</t>
  </si>
  <si>
    <r>
      <rPr>
        <sz val="10"/>
        <color rgb="FF000000"/>
        <rFont val="Calibri"/>
        <family val="2"/>
      </rPr>
      <t>Fornecimento e aplicação de cerâmico Recer Mastery, Refª PPR6012MST801 com 120x60cm, aplicado até 1,10m altura,</t>
    </r>
    <r>
      <rPr>
        <sz val="10"/>
        <color rgb="FFFF0000"/>
        <rFont val="Calibri"/>
        <family val="2"/>
      </rPr>
      <t xml:space="preserve"> </t>
    </r>
    <r>
      <rPr>
        <sz val="10"/>
        <color rgb="FF000000"/>
        <rFont val="Calibri"/>
        <family val="2"/>
      </rPr>
      <t>(Conforme projeto de Interior Design. A confirmar com amostra no local), sem juntas de assentamento, acabamento nivelado à face do paramento superior da parede separados por alheta metálica fina lacada a branco (Conforme projeto de Interior Design. A confirmar com amostra no local), juntas de acordo com o fabricante, com cimentos cola indicado pelo fornecedor, incluindo regularização da parede após remoção das antigas peças, colmatação de roços abertos para passagem de instalações ou áreas necessárias da parede decorrentes da demolição e todos os cortes necessários que garantam um correto acabamento aos elementos adjacentes. Nota: Colocação do cerâmico segundo peças desenhadas. 
(Parede I.S e Lavatório no Hall)</t>
    </r>
  </si>
  <si>
    <t>3.13.4.6</t>
  </si>
  <si>
    <t>3.13.4.7</t>
  </si>
  <si>
    <t>3.13.4.8</t>
  </si>
  <si>
    <t>3.13.4.9</t>
  </si>
  <si>
    <t>3.13.4.10</t>
  </si>
  <si>
    <t>3.13.4.11</t>
  </si>
  <si>
    <t>3.13.4.12</t>
  </si>
  <si>
    <t>3.13.4.13</t>
  </si>
  <si>
    <t>3.13.5</t>
  </si>
  <si>
    <t>3.13.5.1</t>
  </si>
  <si>
    <t>3.13.5.2</t>
  </si>
  <si>
    <t>3.13.5.3</t>
  </si>
  <si>
    <t>3.13.5.4</t>
  </si>
  <si>
    <t>3.13.6</t>
  </si>
  <si>
    <t>3.13.6.1</t>
  </si>
  <si>
    <t>3.13.6.2</t>
  </si>
  <si>
    <t>3.13.7</t>
  </si>
  <si>
    <t>3.13.7.1</t>
  </si>
  <si>
    <t>3.13.7.2</t>
  </si>
  <si>
    <t>3.13.8</t>
  </si>
  <si>
    <t>3.13.8.1</t>
  </si>
  <si>
    <t>3.13.8.2</t>
  </si>
  <si>
    <t>3.13.8.3</t>
  </si>
  <si>
    <t>3.13.8.4</t>
  </si>
  <si>
    <t>3.13.8.5</t>
  </si>
  <si>
    <t>3.13.8.6</t>
  </si>
  <si>
    <t>3.13.8.7</t>
  </si>
  <si>
    <t>3.13.8.8</t>
  </si>
  <si>
    <t>3.13.8.9</t>
  </si>
  <si>
    <t>3.13.8.10</t>
  </si>
  <si>
    <t>3.13.8.11</t>
  </si>
  <si>
    <t>3.13.8.12</t>
  </si>
  <si>
    <t>3.13.8.13</t>
  </si>
  <si>
    <t>3.13.8.14</t>
  </si>
  <si>
    <t>3.13.8.15</t>
  </si>
  <si>
    <t>3.13.8.16</t>
  </si>
  <si>
    <t>3.13.8.17</t>
  </si>
  <si>
    <t>3.13.8.18</t>
  </si>
  <si>
    <t>3.13.8.19</t>
  </si>
  <si>
    <t>3.13.8.20</t>
  </si>
  <si>
    <t>3.13.8.21</t>
  </si>
  <si>
    <t>3.13.8.22</t>
  </si>
  <si>
    <t>Fornecimento e colocação de base de duche ASD Planstone Slim, com acabamento na cor branca Refª 1661051015080. Dimensões de 160x80 cm. Dimensões e cortes necessários para aplicação a confirmar no local. Inclui todas as peças e acessórios necessárias ao seu bom funcionamento como válvula sifão e grelha lacada, de acordo com recomendações do fabricante, assim como todas as fixações necessárias. De acordo com o preconizado nas peças desenhadas e escritas de projeto.</t>
  </si>
  <si>
    <t>3.13.9</t>
  </si>
  <si>
    <t>3.13.9.1</t>
  </si>
  <si>
    <t>TOTAL QUARTO MODELO M</t>
  </si>
  <si>
    <t>TOTAL QUARTOS MODELO M - 30 unidades</t>
  </si>
  <si>
    <t>QUARTO MODELO N Nº219 (mobilidade condicionada)</t>
  </si>
  <si>
    <t>3.14.1</t>
  </si>
  <si>
    <t>3.14.1.1</t>
  </si>
  <si>
    <t>3.14.2</t>
  </si>
  <si>
    <t>3.14.2.1</t>
  </si>
  <si>
    <t>3.14.2.2</t>
  </si>
  <si>
    <t>3.14.3</t>
  </si>
  <si>
    <t>3.14.3.1</t>
  </si>
  <si>
    <t>3.14.3.2</t>
  </si>
  <si>
    <t>3.14.3.3</t>
  </si>
  <si>
    <t>3.14.3.4</t>
  </si>
  <si>
    <t>3.14.3.5</t>
  </si>
  <si>
    <t>3.14.3.6</t>
  </si>
  <si>
    <t>3.14.3.7</t>
  </si>
  <si>
    <t>3.14.3.8</t>
  </si>
  <si>
    <t>3.14.4</t>
  </si>
  <si>
    <t>3.14.4.1</t>
  </si>
  <si>
    <t>3.14.4.2</t>
  </si>
  <si>
    <t>3.14.4.3</t>
  </si>
  <si>
    <t>3.14.4.4</t>
  </si>
  <si>
    <t>3.14.4.5</t>
  </si>
  <si>
    <t>3.14.4.6</t>
  </si>
  <si>
    <t>3.14.4.7</t>
  </si>
  <si>
    <t>3.14.4.8</t>
  </si>
  <si>
    <t>3.14.4.9</t>
  </si>
  <si>
    <t>3.14.4.10</t>
  </si>
  <si>
    <t>3.14.4.11</t>
  </si>
  <si>
    <t>3.14.4.12</t>
  </si>
  <si>
    <t>3.14.4.13</t>
  </si>
  <si>
    <t>3.14.5</t>
  </si>
  <si>
    <t>3.14.5.1</t>
  </si>
  <si>
    <t>3.14.5.2</t>
  </si>
  <si>
    <t>3.14.5.3</t>
  </si>
  <si>
    <t>3.14.5.4</t>
  </si>
  <si>
    <t>3.14.5.5</t>
  </si>
  <si>
    <t>3.14.5.6</t>
  </si>
  <si>
    <t>3.14.5.7</t>
  </si>
  <si>
    <t>3.14.5.8</t>
  </si>
  <si>
    <t>3.14.5.9</t>
  </si>
  <si>
    <t>3.14.5.10</t>
  </si>
  <si>
    <t>3.14.6</t>
  </si>
  <si>
    <t>3.14.6.1</t>
  </si>
  <si>
    <t>3.14.6.2</t>
  </si>
  <si>
    <t>3.14.7</t>
  </si>
  <si>
    <t>3.14.7.1</t>
  </si>
  <si>
    <t>3.14.7.2</t>
  </si>
  <si>
    <t>3.14.8</t>
  </si>
  <si>
    <t>3.14.8.1</t>
  </si>
  <si>
    <t>3.14.8.2</t>
  </si>
  <si>
    <t>3.14.8.3</t>
  </si>
  <si>
    <t>3.14.8.4</t>
  </si>
  <si>
    <t>Fornecimento e montagem de lavatório mural suspenso marca Grohe, modelo Cube Cerâmic 50 refª 3947400H com 500x490mm, acabamento alpine white, incluindo fixação, vedantes, remates e todos os trabalhos e materiais necessários a um perfeito acabamento, de acordo com as recomendações do fornecedor (Conforme projeto de Interior Design.</t>
  </si>
  <si>
    <t>3.14.8.5</t>
  </si>
  <si>
    <t>Misturadora monocomando de lavatório da Grohe, modelo Eurosmart refª 23983003, acabamento cromado, com manipulo metálico, (Conforme projeto de Interior Design. A confirmar com amostra no local). Inclui todas as peças, fixações e remates necessários ao seu correcto funcionamento.</t>
  </si>
  <si>
    <t>3.14.8.6</t>
  </si>
  <si>
    <t>3.14.8.7</t>
  </si>
  <si>
    <t>3.14.8.8</t>
  </si>
  <si>
    <t>3.14.8.9</t>
  </si>
  <si>
    <t>3.14.8.10</t>
  </si>
  <si>
    <t>3.14.8.11</t>
  </si>
  <si>
    <t>3.14.8.12</t>
  </si>
  <si>
    <t>3.14.8.13</t>
  </si>
  <si>
    <t>3.14.8.14</t>
  </si>
  <si>
    <t>3.14.8.15</t>
  </si>
  <si>
    <t>3.14.8.16</t>
  </si>
  <si>
    <t>3.14.8.17</t>
  </si>
  <si>
    <t>3.14.8.18</t>
  </si>
  <si>
    <t>3.14.8.19</t>
  </si>
  <si>
    <t>3.14.8.20</t>
  </si>
  <si>
    <t>Fornecimento e aplicação de barra de apoio para parede (sanita e duche) em L, da marca JNF, referência IN.12.029 (Conforme projeto de Interior Design. A confirmar com amostra no local). Inclui todas as peças, fixações e remates necessários ao seu correcto funcionamento.</t>
  </si>
  <si>
    <t>3.14.8.21</t>
  </si>
  <si>
    <t>Fornecimento e colocação de base de duche rebaixada no pavimento, ASD Planstone Slim, com acabamento na cor branca Refª 1661051015080. Dimensões de 170x90 cm. Dimensões e cortes necessários para aplicação a confirmar no local. Inclui todas as peças e acessórios necessárias ao seu bom funcionamento como válvula sifão e grelha lacada, de acordo com recomendações do fabricante, assim como todas as fixações necessárias. De acordo com o preconizado nas peças desenhadas e escritas de projeto.</t>
  </si>
  <si>
    <t>3.14.8.22</t>
  </si>
  <si>
    <t>Fornecimento e aplicação de Banco rebativel para wc, na zona de duche, marca JNF, refª IN.12.044.W, (Conforme projeto de Interior Design. A confirmar com amostra no local). Inclui todas as peças, fixações e remates necessários ao seu correcto funcionamento.</t>
  </si>
  <si>
    <t>TOTAL QUARTO MODELO N</t>
  </si>
  <si>
    <t>TOTAL QUARTOS MODELO N - 3 unidades</t>
  </si>
  <si>
    <t>QUARTO MODELO O Nº225 (mobilidade condicionada)</t>
  </si>
  <si>
    <t>3.15.1</t>
  </si>
  <si>
    <t>3.15.1.1</t>
  </si>
  <si>
    <t>3.15.2</t>
  </si>
  <si>
    <t>3.15.2.1</t>
  </si>
  <si>
    <t>3.15.2.2</t>
  </si>
  <si>
    <t>3.15.3</t>
  </si>
  <si>
    <t>3.15.3.1</t>
  </si>
  <si>
    <t>3.15.3.2</t>
  </si>
  <si>
    <t>3.15.3.3</t>
  </si>
  <si>
    <t>3.15.3.4</t>
  </si>
  <si>
    <t>3.15.3.5</t>
  </si>
  <si>
    <t>3.15.3.6</t>
  </si>
  <si>
    <t>3.15.3.7</t>
  </si>
  <si>
    <t>3.15.3.8</t>
  </si>
  <si>
    <t>3.15.4</t>
  </si>
  <si>
    <t>3.15.4.1</t>
  </si>
  <si>
    <t>3.15.4.2</t>
  </si>
  <si>
    <t>3.15.4.3</t>
  </si>
  <si>
    <t>3.15.4.4</t>
  </si>
  <si>
    <t>3.15.4.5</t>
  </si>
  <si>
    <t>3.15.4.6</t>
  </si>
  <si>
    <t>3.15.4.7</t>
  </si>
  <si>
    <t>3.15.4.8</t>
  </si>
  <si>
    <t>3.15.4.9</t>
  </si>
  <si>
    <t>3.15.4.10</t>
  </si>
  <si>
    <t>3.15.4.11</t>
  </si>
  <si>
    <t>3.15.4.12</t>
  </si>
  <si>
    <t>3.15.4.13</t>
  </si>
  <si>
    <t>3.15.5</t>
  </si>
  <si>
    <t>3.15.5.1</t>
  </si>
  <si>
    <t>3.15.5.2</t>
  </si>
  <si>
    <t>3.15.5.3</t>
  </si>
  <si>
    <t>3.15.5.4</t>
  </si>
  <si>
    <t>3.15.5.5</t>
  </si>
  <si>
    <t>3.15.5.6</t>
  </si>
  <si>
    <t>3.15.5.7</t>
  </si>
  <si>
    <t>3.15.5.8</t>
  </si>
  <si>
    <t>3.15.5.9</t>
  </si>
  <si>
    <t>3.15.5.10</t>
  </si>
  <si>
    <t>3.15.6</t>
  </si>
  <si>
    <t>3.15.6.1</t>
  </si>
  <si>
    <t>3.15.6.2</t>
  </si>
  <si>
    <t>3.15.7</t>
  </si>
  <si>
    <t>3.15.7.1</t>
  </si>
  <si>
    <t>3.15.7.2</t>
  </si>
  <si>
    <t>3.15.8</t>
  </si>
  <si>
    <t>3.15.8.1</t>
  </si>
  <si>
    <t>3.15.8.2</t>
  </si>
  <si>
    <t>3.15.8.3</t>
  </si>
  <si>
    <t>3.15.8.4</t>
  </si>
  <si>
    <t>3.15.8.5</t>
  </si>
  <si>
    <t>3.15.8.6</t>
  </si>
  <si>
    <t>3.15.8.7</t>
  </si>
  <si>
    <t>3.15.8.8</t>
  </si>
  <si>
    <t>3.15.8.9</t>
  </si>
  <si>
    <t>3.15.8.10</t>
  </si>
  <si>
    <t>3.15.8.11</t>
  </si>
  <si>
    <t>3.15.8.12</t>
  </si>
  <si>
    <t>3.15.8.13</t>
  </si>
  <si>
    <t>3.15.8.14</t>
  </si>
  <si>
    <t>3.15.8.15</t>
  </si>
  <si>
    <t>3.15.8.16</t>
  </si>
  <si>
    <t>3.15.8.17</t>
  </si>
  <si>
    <t>3.15.8.18</t>
  </si>
  <si>
    <t>3.15.8.19</t>
  </si>
  <si>
    <t>3.15.8.20</t>
  </si>
  <si>
    <t>3.15.8.21</t>
  </si>
  <si>
    <t>3.15.8.22</t>
  </si>
  <si>
    <t>TOTAL QUARTO MODELO O</t>
  </si>
  <si>
    <t>TOTAL QUARTOS MODELO O - 2 unidades</t>
  </si>
  <si>
    <t>QUARTO MODELO TWIN T1 Nº606</t>
  </si>
  <si>
    <t>3.16.1</t>
  </si>
  <si>
    <t>3.16.1.1</t>
  </si>
  <si>
    <t>3.16.2</t>
  </si>
  <si>
    <t>3.16.2.1</t>
  </si>
  <si>
    <t>1,00</t>
  </si>
  <si>
    <t>3.16.2.2</t>
  </si>
  <si>
    <t>3.16.3</t>
  </si>
  <si>
    <t>3.16.3.1</t>
  </si>
  <si>
    <t>3.16.3.2</t>
  </si>
  <si>
    <t>3.16.3.3</t>
  </si>
  <si>
    <t>3.16.3.4</t>
  </si>
  <si>
    <t>3.16.3.5</t>
  </si>
  <si>
    <t>3.16.3.6</t>
  </si>
  <si>
    <t>3.16.3.7</t>
  </si>
  <si>
    <t>3.16.3.8</t>
  </si>
  <si>
    <t>3.16.4</t>
  </si>
  <si>
    <t>3.16.4.1</t>
  </si>
  <si>
    <t>3.16.4.2</t>
  </si>
  <si>
    <t>3.16.4.3</t>
  </si>
  <si>
    <t>3.16.4.4</t>
  </si>
  <si>
    <t>3.16.4.5</t>
  </si>
  <si>
    <t>3.16.4.6</t>
  </si>
  <si>
    <t>3.16.4.7</t>
  </si>
  <si>
    <t>3.16.4.8</t>
  </si>
  <si>
    <t>3.16.4.9</t>
  </si>
  <si>
    <t>3.16.4.10</t>
  </si>
  <si>
    <t>3.16.4.11</t>
  </si>
  <si>
    <t>3.16.4.12</t>
  </si>
  <si>
    <t>3.16.4.13</t>
  </si>
  <si>
    <t>3.16.5</t>
  </si>
  <si>
    <t>3.16.5.1</t>
  </si>
  <si>
    <t>3.16.5.2</t>
  </si>
  <si>
    <t>3.16.5.3</t>
  </si>
  <si>
    <t>3.16.5.4</t>
  </si>
  <si>
    <t>3.16.5.5</t>
  </si>
  <si>
    <t>3.16.5.6</t>
  </si>
  <si>
    <t>3.16.5.7</t>
  </si>
  <si>
    <t>3.16.5.8</t>
  </si>
  <si>
    <t>3.16.5.9</t>
  </si>
  <si>
    <t>3.16.5.10</t>
  </si>
  <si>
    <t>3.16.6</t>
  </si>
  <si>
    <t>3.16.6.1</t>
  </si>
  <si>
    <t>3.16.6.2</t>
  </si>
  <si>
    <t>3.16.7</t>
  </si>
  <si>
    <t>3.16.7.1</t>
  </si>
  <si>
    <t>3.16.7.2</t>
  </si>
  <si>
    <t>3.16.8</t>
  </si>
  <si>
    <t>3.16.8.1</t>
  </si>
  <si>
    <t>3.16.8.2</t>
  </si>
  <si>
    <t>3.16.8.3</t>
  </si>
  <si>
    <t>3.16.8.4</t>
  </si>
  <si>
    <t>3.16.8.5</t>
  </si>
  <si>
    <t>3.16.8.6</t>
  </si>
  <si>
    <t>3.16.8.7</t>
  </si>
  <si>
    <t>3.16.8.8</t>
  </si>
  <si>
    <t>3.16.8.9</t>
  </si>
  <si>
    <t>3.16.8.10</t>
  </si>
  <si>
    <t>3.16.8.11</t>
  </si>
  <si>
    <t>3.16.8.12</t>
  </si>
  <si>
    <t>3.16.8.13</t>
  </si>
  <si>
    <t>3.16.8.14</t>
  </si>
  <si>
    <t>3.16.8.15</t>
  </si>
  <si>
    <t>3.16.8.16</t>
  </si>
  <si>
    <t>3.16.8.17</t>
  </si>
  <si>
    <t>3.16.8.18</t>
  </si>
  <si>
    <t>3.16.8.19</t>
  </si>
  <si>
    <t>3.16.8.20</t>
  </si>
  <si>
    <t>3.16.8.21</t>
  </si>
  <si>
    <t>3.16.8.22</t>
  </si>
  <si>
    <t>3.16.9</t>
  </si>
  <si>
    <t>3.16.9.1</t>
  </si>
  <si>
    <t>TOTAL QUARTO MODELO T1</t>
  </si>
  <si>
    <t>TOTAL QUARTOS MODELO T1 - 66 unidades</t>
  </si>
  <si>
    <t>QUARTO MODELO TWIN T2 Nº656</t>
  </si>
  <si>
    <t>3.17.1</t>
  </si>
  <si>
    <t>3.17.1.1</t>
  </si>
  <si>
    <t>3.17.2</t>
  </si>
  <si>
    <t>3.17.2.1</t>
  </si>
  <si>
    <t>3.17.2.2</t>
  </si>
  <si>
    <t>3.17.3</t>
  </si>
  <si>
    <t>3.17.3.1</t>
  </si>
  <si>
    <t>3.17.3.2</t>
  </si>
  <si>
    <t>3.17.3.3</t>
  </si>
  <si>
    <t>3.17.3.4</t>
  </si>
  <si>
    <t>3.17.3.5</t>
  </si>
  <si>
    <t>3.17.3.6</t>
  </si>
  <si>
    <t>3.17.3.7</t>
  </si>
  <si>
    <t>3.17.3.8</t>
  </si>
  <si>
    <t>3.17.4</t>
  </si>
  <si>
    <t>3.17.4.1</t>
  </si>
  <si>
    <t>3.17.4.2</t>
  </si>
  <si>
    <t>3.17.4.3</t>
  </si>
  <si>
    <t>3.17.4.4</t>
  </si>
  <si>
    <t>3.17.4.5</t>
  </si>
  <si>
    <t>3.17.4.6</t>
  </si>
  <si>
    <t>3.17.4.7</t>
  </si>
  <si>
    <t>3.17.4.8</t>
  </si>
  <si>
    <t>3.17.4.9</t>
  </si>
  <si>
    <t>3.17.4.10</t>
  </si>
  <si>
    <t>3.17.4.11</t>
  </si>
  <si>
    <t>3.17.4.12</t>
  </si>
  <si>
    <t>3.17.4.13</t>
  </si>
  <si>
    <t>3.17.5</t>
  </si>
  <si>
    <t>3.17.5.1</t>
  </si>
  <si>
    <t>3.17.5.2</t>
  </si>
  <si>
    <t>3.17.5.3</t>
  </si>
  <si>
    <t>3.17.5.4</t>
  </si>
  <si>
    <t>3.17.5.5</t>
  </si>
  <si>
    <t>3.17.5.6</t>
  </si>
  <si>
    <t>3.17.5.7</t>
  </si>
  <si>
    <t>3.17.5.8</t>
  </si>
  <si>
    <t>3.17.5.9</t>
  </si>
  <si>
    <t>3.17.5.10</t>
  </si>
  <si>
    <t>3.17.6</t>
  </si>
  <si>
    <t>3.17.6.1</t>
  </si>
  <si>
    <t>3.17.6.2</t>
  </si>
  <si>
    <t>3.17.7</t>
  </si>
  <si>
    <t>3.17.7.1</t>
  </si>
  <si>
    <t>3.17.7.2</t>
  </si>
  <si>
    <t>3.17.8</t>
  </si>
  <si>
    <t>3.17.8.1</t>
  </si>
  <si>
    <t>3.17.8.2</t>
  </si>
  <si>
    <t>3.17.8.3</t>
  </si>
  <si>
    <t>3.17.8.4</t>
  </si>
  <si>
    <t>Fornecimento e aplicação de móvel de apoio ao lavatório, composto por:
Estrutura em MDF hidrófugo (Estrutura em 30mm, fundo em 10 mm), revestido a HPL EGGER acabamento Nogueira Lincoln ref.H1714 ST19. Fixação com niveladores ocultos SNM.5412 (2 niveladores e 2 chapas). - 130 kg, Abertura de rasgo para aplicação de fitas LED (2700K). Dimensões 1440x500x170mm (a confirmar no local) com a madeira em 3cm de espessura em cada nível; furações para válvula torneira e tubo ladrão; alhetas, cortes, remates e todos os trabalhos e materiais necessários a um perfeito acabamento, de acordo com as peças desenhadas e recomendações do fornecedor (Conforme projeto de Interior Design. A confirmar com amostra no local). Inclui a colagem com cola adequada às superfícies a colar.</t>
  </si>
  <si>
    <t>3.17.8.5</t>
  </si>
  <si>
    <t>Bancada em Krion Snow White com 1 lavatório integrado. Bancada de 1440x500x170mm; Lavatório termomoldado com 500x300 mm, com furo ladrão, furo para torneira, incluindo duas poleias para fixações, alhetas, cortes, remates e todos os trabalhos e materiais necessários a um perfeito acabamento, de acordo com as peças desenhadas e recomendações do fornecedor (Conforme projeto de Interior Design. A confirmar com amostra no local). Inclui a colagem com cola adequada às superfícies a colar.</t>
  </si>
  <si>
    <t>3.17.8.6</t>
  </si>
  <si>
    <t>3.17.8.7</t>
  </si>
  <si>
    <t>3.17.8.8</t>
  </si>
  <si>
    <t>3.17.8.9</t>
  </si>
  <si>
    <t>3.17.8.10</t>
  </si>
  <si>
    <t>3.17.8.11</t>
  </si>
  <si>
    <t>3.17.8.12</t>
  </si>
  <si>
    <t>3.17.8.13</t>
  </si>
  <si>
    <t>3.17.8.14</t>
  </si>
  <si>
    <t>3.17.8.15</t>
  </si>
  <si>
    <t>3.17.8.16</t>
  </si>
  <si>
    <t>3.17.8.17</t>
  </si>
  <si>
    <t>3.17.8.18</t>
  </si>
  <si>
    <t>3.17.8.19</t>
  </si>
  <si>
    <t>3.17.8.20</t>
  </si>
  <si>
    <t>3.17.8.21</t>
  </si>
  <si>
    <t>3.17.8.22</t>
  </si>
  <si>
    <t>Fornecimento e colocação de base de duche ASD Planstone Slim, com acabamento na cor branca Refª 1661051015080. Dimensões de 140x80 cm. Dimensões e cortes necessários para aplicação a confirmar no local. Inclui todas as peças e acessórios necessárias ao seu bom funcionamento como válvula sifão e grelha lacada, de acordo com recomendações do fabricante, assim como todas as fixações necessárias. De acordo com o preconizado nas peças desenhadas e escritas de projeto.</t>
  </si>
  <si>
    <t>3.17.9</t>
  </si>
  <si>
    <t>3.17.9.1</t>
  </si>
  <si>
    <t>TOTAL QUARTO MODELO T2</t>
  </si>
  <si>
    <t>TOTAL QUARTOS MODELO T2 - 16 unidades</t>
  </si>
  <si>
    <t>QUARTO MODELO TWIN T3 Nº214</t>
  </si>
  <si>
    <t>3.18.1</t>
  </si>
  <si>
    <t>3.18.1.1</t>
  </si>
  <si>
    <t>3.18.2</t>
  </si>
  <si>
    <t>3.18.2.1</t>
  </si>
  <si>
    <t>3.18.2.2</t>
  </si>
  <si>
    <t>3.18.3</t>
  </si>
  <si>
    <t>3.18.3.1</t>
  </si>
  <si>
    <t>3.18.3.2</t>
  </si>
  <si>
    <t>3.18.3.3</t>
  </si>
  <si>
    <t>3.18.3.4</t>
  </si>
  <si>
    <t>3.18.3.5</t>
  </si>
  <si>
    <t>3.18.3.6</t>
  </si>
  <si>
    <t>3.18.3.7</t>
  </si>
  <si>
    <t>3.18.3.8</t>
  </si>
  <si>
    <t>3.18.4</t>
  </si>
  <si>
    <t>3.18.4.1</t>
  </si>
  <si>
    <t>3.18.4.2</t>
  </si>
  <si>
    <t>3.18.4.3</t>
  </si>
  <si>
    <t>3.18.4.4</t>
  </si>
  <si>
    <t>3.18.4.5</t>
  </si>
  <si>
    <t>3.18.4.6</t>
  </si>
  <si>
    <t>3.18.4.7</t>
  </si>
  <si>
    <t>3.18.4.8</t>
  </si>
  <si>
    <t>3.18.4.9</t>
  </si>
  <si>
    <t>3.18.4.10</t>
  </si>
  <si>
    <t>3.18.4.11</t>
  </si>
  <si>
    <t>3.18.4.12</t>
  </si>
  <si>
    <t>3.18.4.13</t>
  </si>
  <si>
    <t>3.18.5</t>
  </si>
  <si>
    <t>3.18.5.1</t>
  </si>
  <si>
    <t>3.18.5.2</t>
  </si>
  <si>
    <t>3.18.5.3</t>
  </si>
  <si>
    <t>3.18.5.4</t>
  </si>
  <si>
    <t>3.18.5.5</t>
  </si>
  <si>
    <t>3.18.5.6</t>
  </si>
  <si>
    <t>3.18.5.7</t>
  </si>
  <si>
    <t>3.18.5.8</t>
  </si>
  <si>
    <t>3.18.5.9</t>
  </si>
  <si>
    <t>3.18.5.10</t>
  </si>
  <si>
    <t>3.18.6</t>
  </si>
  <si>
    <t>3.18.6.1</t>
  </si>
  <si>
    <t>3.18.6.2</t>
  </si>
  <si>
    <t>3.18.7</t>
  </si>
  <si>
    <t>3.18.7.1</t>
  </si>
  <si>
    <t>3.18.7.2</t>
  </si>
  <si>
    <t>3.18.8</t>
  </si>
  <si>
    <t>3.18.8.1</t>
  </si>
  <si>
    <t>3.18.8.2</t>
  </si>
  <si>
    <t>3.18.8.3</t>
  </si>
  <si>
    <t>3.18.8.4</t>
  </si>
  <si>
    <t>3.18.8.5</t>
  </si>
  <si>
    <t>3.18.8.6</t>
  </si>
  <si>
    <t>3.18.8.7</t>
  </si>
  <si>
    <t>3.18.8.8</t>
  </si>
  <si>
    <t>3.18.8.9</t>
  </si>
  <si>
    <t>3.18.8.10</t>
  </si>
  <si>
    <t>3.18.8.11</t>
  </si>
  <si>
    <t>3.18.8.12</t>
  </si>
  <si>
    <t>3.18.8.13</t>
  </si>
  <si>
    <t>3.18.8.14</t>
  </si>
  <si>
    <t>3.18.8.15</t>
  </si>
  <si>
    <t>3.18.8.16</t>
  </si>
  <si>
    <t>3.18.8.17</t>
  </si>
  <si>
    <t>3.18.8.18</t>
  </si>
  <si>
    <t>3.18.8.19</t>
  </si>
  <si>
    <t>3.18.8.20</t>
  </si>
  <si>
    <t>3.18.8.21</t>
  </si>
  <si>
    <t>3.18.8.22</t>
  </si>
  <si>
    <t>3.18.9</t>
  </si>
  <si>
    <t>3.18.9.1</t>
  </si>
  <si>
    <t>TOTAL QUARTO MODELO T3</t>
  </si>
  <si>
    <t>TOTAL QUARTOS MODELO T3 - 5 UNIDADES</t>
  </si>
  <si>
    <t>QUARTO MODELO TWIN T4  Nº284</t>
  </si>
  <si>
    <t>3.19.1</t>
  </si>
  <si>
    <t>3.19.1.1</t>
  </si>
  <si>
    <t>3.19.2</t>
  </si>
  <si>
    <t>3.19.2.1</t>
  </si>
  <si>
    <t>3.19.2.2</t>
  </si>
  <si>
    <t>3.19.3</t>
  </si>
  <si>
    <t>3.19.3.1</t>
  </si>
  <si>
    <t>3.19.3.2</t>
  </si>
  <si>
    <t>3.19.3.3</t>
  </si>
  <si>
    <t>3.19.3.4</t>
  </si>
  <si>
    <t>3.19.3.5</t>
  </si>
  <si>
    <t>3.19.3.6</t>
  </si>
  <si>
    <t>3.19.3.7</t>
  </si>
  <si>
    <t>3.19.3.8</t>
  </si>
  <si>
    <t>3.19.4</t>
  </si>
  <si>
    <t>3.19.4.1</t>
  </si>
  <si>
    <t>3.19.4.2</t>
  </si>
  <si>
    <t>3.19.4.3</t>
  </si>
  <si>
    <t>3.19.4.4</t>
  </si>
  <si>
    <t>3.19.4.5</t>
  </si>
  <si>
    <t>3.19.4.6</t>
  </si>
  <si>
    <t>3.19.4.7</t>
  </si>
  <si>
    <t>3.19.4.8</t>
  </si>
  <si>
    <t>3.19.4.9</t>
  </si>
  <si>
    <t>3.19.4.10</t>
  </si>
  <si>
    <t>3.19.4.11</t>
  </si>
  <si>
    <t>3.19.4.12</t>
  </si>
  <si>
    <t>3.19.4.13</t>
  </si>
  <si>
    <t>3.19.4.14</t>
  </si>
  <si>
    <t>3.19.4.15</t>
  </si>
  <si>
    <t>3.19.5</t>
  </si>
  <si>
    <t>3.19.5.1</t>
  </si>
  <si>
    <t>3.19.5.2</t>
  </si>
  <si>
    <t>3.19.5.3</t>
  </si>
  <si>
    <t>3.19.5.4</t>
  </si>
  <si>
    <t>3.19.5.5</t>
  </si>
  <si>
    <t>3.19.5.6</t>
  </si>
  <si>
    <t>3.19.5.7</t>
  </si>
  <si>
    <t>3.19.5.8</t>
  </si>
  <si>
    <t>3.19.5.9</t>
  </si>
  <si>
    <t>3.19.5.10</t>
  </si>
  <si>
    <t>3.19.6</t>
  </si>
  <si>
    <t>3.19.6.1</t>
  </si>
  <si>
    <t>3.19.6.2</t>
  </si>
  <si>
    <t>3.19.7</t>
  </si>
  <si>
    <t>3.19.7.1</t>
  </si>
  <si>
    <t>3.19.7.2</t>
  </si>
  <si>
    <t>Fornecimento e aplicação de móvel de apoio ao lavatório, composto por:
Estrutura em MDF hidrófugo (Estrutura em 30mm, fundo em 10 mm), revestido a HPL EGGER acabamento Nogueira Lincoln ref.H1714 ST19. Fixação com niveladores ocultos SNM.5412 (2 niveladores e 2 chapas). - 130 kg, Abertura de rasgo para aplicação de fitas LED (2700K). Dimensões L105 x P50 x A28 cm (a confirmar no local) com a madeira em 3cm de espessura em cada nível; furações para válvula torneira e tubo ladrão; alhetas, cortes, remates e todos os trabalhos e materiais necessários a um perfeito acabamento, de acordo com as peças desenhadas e recomendações do fornecedor (Conforme projeto de Interior Design. A confirmar com amostra no local). Inclui a colagem com cola adequada às superfícies a colar.</t>
  </si>
  <si>
    <t>Bancada em Krion Snow White com 1 lavatório integrado. Bancada de 1050x500x170mm; Lavatório termomoldado com 500x300 mm, com furo ladrão, furo para torneira, incluindo duas poleias para fixações, alhetas, cortes, remates e todos os trabalhos e materiais necessários a um perfeito acabamento, de acordo com as peças desenhadas e recomendações do fornecedor (Conforme projeto de Interior Design. A confirmar com amostra no local). Inclui a colagem com cola adequada às superfícies a colar.</t>
  </si>
  <si>
    <t>Fornecimento e colocação de base de duche ASD Planstone Slim, com acabamento na cor branca Refª 1661051015080. Dimensões de 290x80 cm. Dimensões e cortes necessários para aplicação a confirmar no local. Inclui todas as peças e acessórios necessárias ao seu bom funcionamento como válvula sifão e grelha lacada, de acordo com recomendações do fabricante, assim como todas as fixações necessárias. De acordo com o preconizado nas peças desenhadas e escritas de projeto.</t>
  </si>
  <si>
    <t>TOTAL QUARTO MODELO T4</t>
  </si>
  <si>
    <t>TOTAL QUARTOS MODELO T4 - 8 UNIDADES</t>
  </si>
  <si>
    <t>QUARTO MODELO TWIN T5  Nº854</t>
  </si>
  <si>
    <t>3.20.1</t>
  </si>
  <si>
    <t>3.20.1.1</t>
  </si>
  <si>
    <t>3.20.2</t>
  </si>
  <si>
    <t>3.20.2.1</t>
  </si>
  <si>
    <t>3.20.2.2</t>
  </si>
  <si>
    <t>3.20.3</t>
  </si>
  <si>
    <t>3.20.3.1</t>
  </si>
  <si>
    <t>3.20.3.2</t>
  </si>
  <si>
    <t>3.20.3.3</t>
  </si>
  <si>
    <t>3.20.3.4</t>
  </si>
  <si>
    <t>Fornecimento e aplicação de cerâmico Recer Mastery, Refª PPR6012MST801 com 120x60cm (Conforme projeto de Interior Design. A confirmar com amostra no local), na instalação sanitária, sem juntas de assentamento, com cimento de cola adequado indicado pelo fornecedor, com juntas de acordo com o fabricante, de acordo com o preconizado nas peças desenhadas e escritas de projeto, incluindo betumação, regularização entre outros trabalhos necessários a um perfeito acabamento. 
(Instalação Sanitária)</t>
  </si>
  <si>
    <t>3.20.3.5</t>
  </si>
  <si>
    <t>3.20.3.6</t>
  </si>
  <si>
    <t>3.20.3.7</t>
  </si>
  <si>
    <t>3.20.3.8</t>
  </si>
  <si>
    <t>3.20.4</t>
  </si>
  <si>
    <t>3.20.4.1</t>
  </si>
  <si>
    <t>3.20.4.2</t>
  </si>
  <si>
    <t>3.20.4.3</t>
  </si>
  <si>
    <t>3.20.4.4</t>
  </si>
  <si>
    <t>3.20.4.5</t>
  </si>
  <si>
    <t>3.20.4.6</t>
  </si>
  <si>
    <t>3.20.4.7</t>
  </si>
  <si>
    <t>3.20.4.8</t>
  </si>
  <si>
    <t>3.20.4.9</t>
  </si>
  <si>
    <t>3.20.4.10</t>
  </si>
  <si>
    <t>3.20.4.11</t>
  </si>
  <si>
    <t>3.20.4.12</t>
  </si>
  <si>
    <t>3.20.4.13</t>
  </si>
  <si>
    <t>3.20.4.14</t>
  </si>
  <si>
    <t>3.20.5</t>
  </si>
  <si>
    <t>3.20.5.1</t>
  </si>
  <si>
    <t>3.20.5.2</t>
  </si>
  <si>
    <t>3.20.5.3</t>
  </si>
  <si>
    <t>3.20.5.4</t>
  </si>
  <si>
    <t>3.20.5.5</t>
  </si>
  <si>
    <t>3.20.5.6</t>
  </si>
  <si>
    <t>3.20.5.7</t>
  </si>
  <si>
    <t>3.20.5.8</t>
  </si>
  <si>
    <t>3.20.5.9</t>
  </si>
  <si>
    <t>3.20.5.10</t>
  </si>
  <si>
    <t>3.20.6</t>
  </si>
  <si>
    <t>3.20.6.1</t>
  </si>
  <si>
    <t>3.20.6.2</t>
  </si>
  <si>
    <t>3.20.7</t>
  </si>
  <si>
    <t>3.20.7.1</t>
  </si>
  <si>
    <t>3.20.7.2</t>
  </si>
  <si>
    <t>3.20.8</t>
  </si>
  <si>
    <t>3.20.8.1</t>
  </si>
  <si>
    <t>3.20.8.2</t>
  </si>
  <si>
    <t>3.20.8.3</t>
  </si>
  <si>
    <t>3.20.8.4</t>
  </si>
  <si>
    <t>Fornecimento e aplicação de móvel de apoio ao lavatório, composto por:
Estrutura em MDF hidrófugo (Estrutura em 30mm, fundo em 10 mm), revestido a HPL EGGER acabamento Nogueira Lincoln ref.H1714 ST19. Fixação com niveladores ocultos SNM.5412 (2 niveladores e 2 chapas). - 130 kg, Abertura de rasgo para aplicação de fitas LED (2700K). Dimensões L140 x P50 x A28 cm (a confirmar no local) com a madeira em 3cm de espessura em cada nível; furações para válvula torneira e tubo ladrão; alhetas, cortes, remates e todos os trabalhos e materiais necessários a um perfeito acabamento, de acordo com as peças desenhadas e recomendações do fornecedor (Conforme projeto de Interior Design. A confirmar com amostra no local). Inclui a colagem com cola adequada às superfícies a colar.</t>
  </si>
  <si>
    <t>3.20.8.5</t>
  </si>
  <si>
    <t>Bancada em Krion Snow White com 1 lavatório integrado. Bancada de 1400x500x170mm; Lavatório termomoldado com 500x300 mm, com furo ladrão, furo para torneira, incluindo duas poleias para fixações, alhetas, cortes, remates e todos os trabalhos e materiais necessários a um perfeito acabamento, de acordo com as peças desenhadas e recomendações do fornecedor (Conforme projeto de Interior Design. A confirmar com amostra no local). Inclui a colagem com cola adequada às superfícies a colar.</t>
  </si>
  <si>
    <t>3.20.8.6</t>
  </si>
  <si>
    <t>3.20.8.7</t>
  </si>
  <si>
    <t>3.20.8.8</t>
  </si>
  <si>
    <t>3.20.8.9</t>
  </si>
  <si>
    <t>3.20.8.10</t>
  </si>
  <si>
    <t>3.20.8.11</t>
  </si>
  <si>
    <t>3.20.8.12</t>
  </si>
  <si>
    <t>3.20.8.13</t>
  </si>
  <si>
    <t>3.20.8.14</t>
  </si>
  <si>
    <t>3.20.8.15</t>
  </si>
  <si>
    <t>3.20.8.16</t>
  </si>
  <si>
    <t>3.20.8.17</t>
  </si>
  <si>
    <t>3.20.8.18</t>
  </si>
  <si>
    <t>3.20.8.19</t>
  </si>
  <si>
    <t>3.20.8.20</t>
  </si>
  <si>
    <t>3.20.8.21</t>
  </si>
  <si>
    <t>3.20.8.22</t>
  </si>
  <si>
    <t>Fornecimento e colocação de base de duche ASD Planstone Slim, com acabamento na cor branca Refª 1661051015080. Dimensões de 140x90 cm. Dimensões e cortes necessários para aplicação a confirmar no local. Inclui todas as peças e acessórios necessárias ao seu bom funcionamento como válvula sifão e grelha lacada, de acordo com recomendações do fabricante, assim como todas as fixações necessárias. De acordo com o preconizado nas peças desenhadas e escritas de projeto.</t>
  </si>
  <si>
    <t>3.20.9</t>
  </si>
  <si>
    <t>3.20.9.1</t>
  </si>
  <si>
    <t>TOTAL QUARTO MODELO T5</t>
  </si>
  <si>
    <t>TOTAL QUARTOS MODELO T5 - 1 UNIDADE</t>
  </si>
  <si>
    <t>QUARTO COMUNICANTE</t>
  </si>
  <si>
    <t>Piso 0</t>
  </si>
  <si>
    <t>1.</t>
  </si>
  <si>
    <t>Execução de todos os trabalhos de Demolição de Elementos Pré-existentes, nos quais se inclui tectos, revestimentos de pavimento, revestimentos de parede, todas as louças sanitárias, portas e outros elementos existentes, bem como a Limpeza e Remoção de Entulho para vazadouro autorizado, conforme peças desenhadas, caderno de encargos, instruções a solicitar aos fabricantes e supervisão da fiscalização de obra. Considera-se incluído no presente artigo o plano de gestão de resíduos, de acordo com normativa. NOTA: A SEGUINTE LISTAGEM NÃO DISPENSA A VERIFICAÇÃO EM OBRA DE TODOS OS ELEMENTOS A REMOVER. A demolição prevista no presente artigo deverá garantir que o espaço destinado à obra fique em tosco, assegurando a execução do projecto de Interior Design e Arquitectura, assim como de todas as engenharias.</t>
  </si>
  <si>
    <r>
      <t xml:space="preserve">Demolição e remoção de parede interior existente entre o lobby e o bar. Demolição de parede integral com excepção dos pilares existentes, até altura do tecto real e remoção integral de vãos interiores,  carga e transporte dos produtos sobrantes a vazadouro autorizado.De acordo com o preconizado nas peças desenhadas e escritas de projeto. </t>
    </r>
    <r>
      <rPr>
        <b/>
        <sz val="10"/>
        <rFont val="Calibri"/>
        <family val="2"/>
      </rPr>
      <t xml:space="preserve">(Nota: Salvaguarda-se a necessidade de que caso surja alguma armadura ou outro elemento que se entenda como estrutural durante o processo de demolição deverá ser avisada de imediato a ficalização.) </t>
    </r>
  </si>
  <si>
    <r>
      <t>Alteração da sala de ITE e remoção de paredes interiores existentes. Demolição e Remoção integral de vãos interiores, incluido materiais e acessórios complementares, carga e transporte dos produtos sobrantes a vazadouro autorizado. De acordo com o preconizado nas peças desenhadas e escritas de projeto.</t>
    </r>
    <r>
      <rPr>
        <b/>
        <sz val="10"/>
        <rFont val="Calibri"/>
        <family val="2"/>
      </rPr>
      <t xml:space="preserve"> (Nota: A sala de ITE será apenas retirada com a indicação da fiscalização.)</t>
    </r>
  </si>
  <si>
    <t>2.</t>
  </si>
  <si>
    <t>2.1</t>
  </si>
  <si>
    <t>Fornecimento e aplicação de pedra amaciada Mármore Volakas Branco (Conforme projeto de Interior Design. A confirmar com amostra no local), com selecção de tons mais próximos do branco. Com formato variável, desencontrado a metade, com 20mm de espessura colada em base devidamente preparada e nivelada. Aplicação de acordo com o preconizado nas peças desenhadas e escritas de projeto, incluindo todos os trabalhos necessários ao seu perfeito acabamento. (Área da recepção, lobby, bar, Instalação sanitária Piso 0 - Pav 01)</t>
  </si>
  <si>
    <t>2.2</t>
  </si>
  <si>
    <r>
      <t>Fornecimento e aplicação de Mármore de Estremoz e Mármore Verde Viana (Conforme projeto de Interior Design. A confirmar com amostra no local), semelhante ao já aplicado, de acordo com o preconizado nas peças desenhadas e escritas de projeto, incluindo todos os trabalhos necessários ao seu perfeito acabamento.</t>
    </r>
    <r>
      <rPr>
        <b/>
        <sz val="10"/>
        <rFont val="Calibri"/>
        <family val="2"/>
      </rPr>
      <t xml:space="preserve"> (Nota: O revestimento a aplicar deverá ser confirmado do local de acordo com existente.)</t>
    </r>
    <r>
      <rPr>
        <sz val="10"/>
        <rFont val="Calibri"/>
        <family val="2"/>
      </rPr>
      <t xml:space="preserve"> (Entrada Original - Pav 04)</t>
    </r>
  </si>
  <si>
    <t>2.3</t>
  </si>
  <si>
    <t>Fornecimento e aplicação de pavimento vinílico da serie SPC4.30, modelo SVynil rigid 0.30 ref.V140- Gaia, da marca SVinyl (Conforme projeto de Interior Design. A confirmar com amostra no local), de acordo com o preconizado nas peças desenhadas e escritas de projeto, incluindo todos os trabalhos necessários ao seu perfeito acabamento. (BOH - Pav03)</t>
  </si>
  <si>
    <t>2.4</t>
  </si>
  <si>
    <t>Fornecimento e aplicação de pavimento vinílico da série Ruby 70, modelo Light Grey  Maya ref. 25098111, da marca Tarkett (Conforme projeto de Interior Design. A confirmar com amostra no local), de acordo com o preconizado nas peças desenhadas e escritas de projeto, incluindo todos os trabalhos necessários ao seu perfeito acabamento. (Bagagem e corredor técnico de acesso ao elevador - Pav10)</t>
  </si>
  <si>
    <t>2.5</t>
  </si>
  <si>
    <t xml:space="preserve">Execução de enchimento para criação de patim e novas escadas e rampa a colocar na zona do Bar/Lobby, incluindo todos os trabalhos necessários ao seu perfeito acabamento, de acordo com o preconizado nas peças desenhadas e escritas de projeto. </t>
  </si>
  <si>
    <t>2.6</t>
  </si>
  <si>
    <t>Fornecimento e aplicação de Mármore Volakas Branco (Conforme projeto de Interior Design. A confirmar com amostra no local), com selecção de tons mais próximos do branco, a colocar nas escadas principais de acesso ao piso 1, de acordo com o preconizado nas peças desenhadas e escritas de projeto, incluindo todos os trabalhos necessários ao seu perfeito acabamento. (Escadas de acesso ao Piso 1 - Pav 01)</t>
  </si>
  <si>
    <t>2.7</t>
  </si>
  <si>
    <t>Fornecimento e aplicação de Mármore Volakas Branco (Conforme projeto de Interior Design. A confirmar com amostra no local), com selecção de tons mais próximos do branco, a colocar nas escadas de acesso ao bar, de acordo com o preconizado nas peças desenhadas e escritas de projeto, incluindo todos os trabalhos necessários ao seu perfeito acabamento. Incluir neste custo base em betonilha ou em auto nivelante para aplicação do pavimento que garanta também o isolamento da base. (Escadas Bar - Pav01)</t>
  </si>
  <si>
    <t>2.8</t>
  </si>
  <si>
    <t xml:space="preserve">Fornecimento e colocação de rodapé  em Mármore Volakas Branco (Conforme projeto de Interior Design. A confirmar com amostra no local), igual ao aplicado no pavimento, com 12mm de espessura e 100mm de altura, com todos os materiais e trabalhos inerentes, de acordo com o preconizado nas peças desenhadas e escritas de projeto. (Instalações Sanitárias -Ro01) </t>
  </si>
  <si>
    <t>2.9</t>
  </si>
  <si>
    <t>Fornecimento e colocação de rodapé em alheta metálica de remate com 5cm de altura, acabamento escovado na cor preta (Conforme projeto de Interior Design. A confirmar com amostra no local), com todos os materiais e trabalhos inerentes, de acordo com o preconizado nas peças desenhadas e escritas de projeto . (Recepção, Bar e Lobby - Ro03)</t>
  </si>
  <si>
    <t>2.10</t>
  </si>
  <si>
    <t>Fornecimento e colocação de Rodapé em MDF lacado a branco RAL 9010, acabamento mate, com 12mm de espessura, com 100mm de altura, aplicado à face com parede em suporte limpo e desempenado (Conforme projeto de Interior Design. A confirmar com amostra no local). Prever solução para acomodar a curvatura nas paredes curvas, a definir pelo empreiteiro. Inclui todos os trabalhos, remates e acessórios necessários a um correcto acabamento e funcionamento, tudo de acordo com as recomendações dos fornecedores. de acordo com o preconizado nas peças desenhadas e escritas de projeto . (BOH - Ro06)</t>
  </si>
  <si>
    <t>2.11</t>
  </si>
  <si>
    <t>Fornecimento e colocação de rodapé de INOX ou equivalente, 6x1,5x250cm (Conforme projeto de Interior Design. A confirmar com amostra no local), com todos os materiais e trabalhos inerentes, de acordo com o preconizado nas peças desenhadas e escritas de projeto. (Cozinha Bar)</t>
  </si>
  <si>
    <t>2.12</t>
  </si>
  <si>
    <t>Fornecimento e colocação de rodapé de Inox ou equivalente, 10x1,5x250cm (Conforme projeto de Interior Design. A confirmar com amostra no local), com todos os materiais e trabalhos inerentes, de acordo com o preconizado nas peças desenhadas e escritas de projeto. (Elevador - Bar)</t>
  </si>
  <si>
    <t>2.13</t>
  </si>
  <si>
    <t xml:space="preserve">Fornecimento e colocação de rodapé  em Mármore Volakas Branco (Conforme projeto de Interior Design. A confirmar com amostra no local), igual ao aplicado no pavimento, com 12mm de espessura e 100mm de altura, com todos os materiais e trabalhos inerentes ao seu perfeito acabamento, de acordo com o preconizado nas peças desenhadas e escritas de projeto. (escadas Ro01) </t>
  </si>
  <si>
    <t>2.14</t>
  </si>
  <si>
    <t>Fornecimento e aplicação de Pedra Lioz (Conforme projeto de Interior Design. A confirmar com amostra no local), de acordo com o preconizado nas peças desenhadas e escritas de projeto, incluindo todos os trabalhos necessários ao seu perfeito acabamento. Incluir neste custo base em betonilha ou em auto nivelante para aplicação do pavimento que garanta também o isolamento da base. Verificar medidas no local. (Área Exterior - Entrada Principal Recepção)</t>
  </si>
  <si>
    <t>2.15</t>
  </si>
  <si>
    <t>Fornecimento e aplicação de soleira em granito idêntica à existente no local, de acordo com o preconizado nas peças desenhadas e escritas de projeto, incluindo todos os trabalhos necessários ao seu perfeito acabamento. Verificar medida no local. (Entrada Principal - Recepção)</t>
  </si>
  <si>
    <t>2.16</t>
  </si>
  <si>
    <t>Fornecimento e aplicação de regularização de pavimentos com betonilha ou material auto-nivelante adequado na preparação do negativo a colocar tapete exterior previsto em projeto, incluindo todos os trabalhos necessários à sua perfeita execução. De acordo com o preconizado nas peças desenhadas e escritas de projeto.  (Área Exterior - Entrada Principal Recepção)</t>
  </si>
  <si>
    <t>2.17</t>
  </si>
  <si>
    <t>Fornecimento e aplicação de soleira em granito idêntica à existente no local (A confirmar com amostra no local), de acordo com o preconizado nas peças desenhadas e escritas de projeto, incluindo todos os trabalhos necessários ao seu perfeito acabamento. Verificar medida no local. (Vão Esplanada)</t>
  </si>
  <si>
    <t>2.18</t>
  </si>
  <si>
    <t>Fornecimento e aplicação de cerâmico primus vitoria na cor branco Ref. P800 com as dimensões 20x20cm, de acordo com o preconizado nas peças desenhadas e escritas de projeto, incluindo todos os trabalhos necessários ao seu perfeito acabamento. Verificar medidas no local. (Cozinha Bar - Rvp19)</t>
  </si>
  <si>
    <t>2.19</t>
  </si>
  <si>
    <t>Fornecimento e aplicação de carpete "Naban Carpets", refª Axminster 35 (altura = 10,8mm) sobre camada de underlay (dupla colagem ao pavimento), esp=6mm, assente em base regularizada e limpa. Mescla de cor composta por tufos ARS a definir (Conforme projeto de Interior Design. A confirmar com amostra no local). (Antecâmara - Pav08)</t>
  </si>
  <si>
    <t>2.20</t>
  </si>
  <si>
    <t>Fornecimento e assentamento de perfil de transição de pavimentos em aço inoxidável V2A, tipo "Schlüter-RENO-TK", incluindo fixação e todos os trabalhos preparatórios, acessórios e complementares, necessários a um perfeito acabamento, conforme preconizado nas peças desenhadas e escritas de projeto. (Área Cliente)</t>
  </si>
  <si>
    <t>2.21</t>
  </si>
  <si>
    <t>Fornecimento e assentamento de perfil de transição de pavimentos em PVC, Tipo Tarkett para rolos vinílicos, incluindo fixação e todos os trabalhos preparatórios, acessórios e complementares, necessários a um perfeito acabamento, conforme preconizado nas peças desenhadas e escritas de projeto. (BOH)</t>
  </si>
  <si>
    <t>2.22</t>
  </si>
  <si>
    <t>Preparação da zona de escadas e rampas interiores existentes, com o enchimento necessário para se cumprir com as novas cotas de projeto, conforme preconizado nas peças desenhadas e escritas de projeto.</t>
  </si>
  <si>
    <t>2.23</t>
  </si>
  <si>
    <t>Fornecimento e execução de enchimento do pavimento da copa do bar segundo projetos de arquitetura. Prever a colocação de escadas conforme desenhos.</t>
  </si>
  <si>
    <t>ml3</t>
  </si>
  <si>
    <t>3.</t>
  </si>
  <si>
    <t>3.1</t>
  </si>
  <si>
    <t>Fornecimento e aplicação de parede divisória em gesso cartonado com classificação EI60 constituída por duas placas de 15 mm de espessura, aparafudas a cada lado de uma estrutura dupla, livre, de aço galvanizado de 70 mm de largura cada e separadas entre si por uma distância variável (espaço mínimo de 10 mm). Ambas as estruturas são compostas por montantes (elementos verticais) de abas de 35 mm e canais (elementos horizontais), dando uma largura total de tabique terminado de 210 mm (200+10). Alma da estrutura preenchida na sua totalidade com lã mineral de 60 a 70 mm de espessura. Montagem de acordo com as recomendações técnicas do fabricante e norma UNE 102043. Realizar o trabalho de acordo com o preconizado nas peças desenhadas e escritas dos projetos de arquitetura e de engenharias.  (Parede divisória entre I.S. e BOH)</t>
  </si>
  <si>
    <t>3.2</t>
  </si>
  <si>
    <t xml:space="preserve">Fornecimento e aplicação de parede divisória em gesso cartonado com classificação E120 constituída por duas placas de gesso cartonado de 12,5 mm de espessura, aparafudas a cada lado de uma dupla estrutura livre de aço galvanizado de 70 mm de largura cada e separadas entre si por uma distância variável (espaço mínimo de 10 mm + 12,5 mm de espessura da placa intermédia). Ambas as estruturas são compostas por montantes (elementos verticais) de abas de 45 mm e canais (elementos horizontais), dando uma largura total de tabique terminado de 212,5 mm (202,5+10). Alma da estrutura preenchida na sua totalidade com lã mineral de 60 a 70 mm de espessura. Montagem de acordo com as recomendações técnicas do fabricante e norma UNE 102043. Realizar o trabalho de acordo com o preconizado nas peças desenhadas e escritas dos projetos de arquitetura e de engenharias.  </t>
  </si>
  <si>
    <t>3.3</t>
  </si>
  <si>
    <t xml:space="preserve">Fornecimento e aplicação de parede divisória em gesso cartonado Standard  constituída por uma placa de 18 mm de espessura, aparafuda a cada lado de uma estrutura de aço galvanizado de 70 mm de largura, composta por montantes (elementos verticais) de abas de 45 mm e canais (elementos horizontais), dando uma largura total de tabique terminado de 106 mm. Alma da estrutura  preenchida na sua totalidade com lã mineral de 60 a 70 mm de espessura. Montagem de acordo com as recomendações técnicas do fabricante e norma UNE 102043.  Realizar o trabalho de acordo com o preconizado nas peças desenhadas e escritas dos projetos de arquitetura e de engenharias.  </t>
  </si>
  <si>
    <t>3.4</t>
  </si>
  <si>
    <t>Fornecimento e aplicação de forra em gesso cartonado Standard formado por uma estrutura de aço galvanizado de 70 mm de largura, composta por montantes  (elementos verticais) de abas de 35 mm e canais (elementos horizontais), a cujo lado interno, dependendo da altura que se deseja cobrir, será necessário fixar os montantes mediante suportes que fixem a alma dos montantes e a parede de suporte, deixando entre a estrutura e a parede um espaço mínimo de 10 mm. No lado externo desta estrutura de revestimento aparafusase uma placa de 15 mm de espessura, dando uma largura mínima total de revestimento terminado de 95 mm (85+10). Montagem de acordo com as recomendações técnicas do fabricante e norma UNE 102043.  Realizar o trabalho de acordo com o preconizado nas peças desenhadas e escritas dos projetos de arquitetura e de engenharias.</t>
  </si>
  <si>
    <t>3.5</t>
  </si>
  <si>
    <t>Fornecimento e aplicação de forra em gesso cartonado Hidrófugo formado por uma estrutura de aço galvanizado de 70 mm de largura, composta por montantes  (elementos verticais) de abas de 35 mm e canais (elementos horizontais), a cujo lado interno, dependendo da altura que se deseja cobrir, será necessário fixar os montantes mediante suportes que fixem a alma dos montantes e a parede de suporte, deixando entre a estrutura e a parede um espaço mínimo de 10 mm. No lado externo desta estrutura de revestimento aparafusase uma placa de 15 mm de espessura, dando uma largura mínima total de revestimento terminado de 95 mm (85+10). Montagem de acordo com as recomendações técnicas do fabricante e norma UNE 102043.  Realizar o trabalho de acordo com o preconizado nas peças desenhadas e escritas dos projetos de arquitetura e de engenharias. (Instalações Sanitárias)</t>
  </si>
  <si>
    <t>3.6</t>
  </si>
  <si>
    <t>Fornecimento e aplicação de parede divisória em gesso cartonado constituída por dupla placa em gesso cartonado hidrófugo do lado interior e Standard com dupla placa do lado exerior, aparafuda a cada lado de uma estrutura de aço galvanizado de 70 mm de largura, composta por montantes (elementos verticais) de abas de 45 mm e canais (elementos horizontais), dando uma largura total de acordo com o pilar existente no local. Montagem de acordo com as recomendações técnicas do fabricante e norma UNE 102043.  Realizar o trabalho de acordo com o preconizado nas peças desenhadas e escritas dos projetos de arquitetura e de engenharias. (Parede na antecâmara de entrada no edifício)</t>
  </si>
  <si>
    <t>3.7</t>
  </si>
  <si>
    <t>Fornecimento e aplicação de parede divisória em gesso cartonado constituída por dupla placa em gesso cartonado hidrófugo de ambos os lados, aparafuda a cada lado de uma estrutura de aço galvanizado de 70 mm de largura, composta por montantes (elementos verticais) de abas de 45 mm e canais (elementos horizontais), dando uma largura total de tabique terminado de 106 mm. Montagem de acordo com as recomendações técnicas do fabricante e norma UNE 102043.  Realizar o trabalho de acordo com o preconizado nas peças desenhadas e escritas dos projetos de arquitetura e de engenharias. (Parede divisória entre casas de banho, nas Instalações Sanitárias do piso 0)</t>
  </si>
  <si>
    <t>3.8</t>
  </si>
  <si>
    <t>Fornecimento e aplicação de parede divisória em gesso cartonado constituída por gesso cartonado hidrófugo e uma placa de Glasroc  reforçada com fibra de vidro, com elevado comportamento em zonas de elevada humidade pelo lado interior e uma placa de gesso cartonado standard  preparada para pintura pelo lado exterior, aparafuda a cada lado de uma estrutura de aço galvanizado de 70 mm de largura, composta por montantes (elementos verticais) de abas de 45 mm e canais (elementos horizontais), dando uma largura total de tabique terminado de 106 mm. Montagem de acordo com as recomendações técnicas do fabricante e norma UNE 102043.  Realizar o trabalho de acordo com o preconizado nas peças desenhadas e escritas dos projetos de arquitetura e de engenharias. (Parede  Copa apoio Bar/ Bar)</t>
  </si>
  <si>
    <t>3.9</t>
  </si>
  <si>
    <t>Fornecimento e aplicação de parede divisória em gesso cartonado constituída por dupla placa em gesso cartonado hidrófugo do lado interior e Standard com dupla placa do lado exerior, aparafuda a cada lado de uma estrutura de aço galvanizado de 70 mm de largura, composta por montantes (elementos verticais) de abas de 45 mm e canais (elementos horizontais), dando uma largura total de tabique terminado de 106 mm. Montagem de acordo com as recomendações técnicas do fabricante e norma UNE 102043.  Realizar o trabalho de acordo com o preconizado nas peças desenhadas e escritas dos projetos de arquitetura e de engenharias.</t>
  </si>
  <si>
    <t>3.10</t>
  </si>
  <si>
    <t>Fornecimento e assentamento de alvenaria interior simples de tijolo cerâmico furado de 30x20x07cm, assente com argamassa de cimento, areia ao traço 1:4, incluindo todos os trabalhos e acessórios necessários á sua perfeita execução, de acordo com o preconizado nas peças desenhadas e escritas  dos projetos de arquitetura e de engenharias. Inclui linteis de coroamento e travamentos.  (Antecâmara- Luggage)</t>
  </si>
  <si>
    <t>3.11</t>
  </si>
  <si>
    <t>Fornecimento e assentamento de alvenaria interior simples de tijolo cerâmico furado de 30x20x07cm, assente com argamassa de cimento e areia ao traço 1:4, incluindo todos os trabalhos e acessórios necessários á sua perfeita execução, de acordo com o preconizado nas peças desenhadas e escritas de projeto de arquitetura e de engenharias. Garantir resistência da parede para a instalação das loiças sanitárias (Instalações sanitárias)</t>
  </si>
  <si>
    <t>3.12</t>
  </si>
  <si>
    <t>Fornecimento e assentamento de alvenaria interior simples de tijolo cerâmico furado de 30x20x07cm, assente com argamassa de cimento e areia ao traço 1:4, incluindo todos os trabalhos e acessórios necessários á sua perfeita execução, de acordo com o preconizado nas peças desenhadas e escritas de projeto de arquitetura e de engenharias. (Bar)</t>
  </si>
  <si>
    <t>3.13</t>
  </si>
  <si>
    <r>
      <t xml:space="preserve">Fornecimento e assentamento de alvenaria interior simples de tijolo cerâmico furado de 30x20x11cm, assente com argamassa de cimento e areia ao traço 1:4, incluindo todos os trabalhos e acessórios necessários á sua perfeita execução, de acordo com o preconizado nas peças desenhadas e escritas de projeto de arquitetura e de engenharias. Inclui abertura e reforço de vãos, linteis de coroamento, travamentos verticais a cada 3 m e, em paredes que irão suportar acabamentos pesados, deve ser prevista a colocação de uma viga a 2,00 m e de outra à altura superior da parede .  </t>
    </r>
    <r>
      <rPr>
        <b/>
        <sz val="10"/>
        <rFont val="Calibri"/>
        <family val="2"/>
      </rPr>
      <t>Nota: Colocação de pano de alvenaria até à cota do tecto da laje.</t>
    </r>
    <r>
      <rPr>
        <sz val="10"/>
        <rFont val="Calibri"/>
        <family val="2"/>
      </rPr>
      <t xml:space="preserve"> (Recepção)</t>
    </r>
  </si>
  <si>
    <t>3.14</t>
  </si>
  <si>
    <t>Fornecimento e aplicação de parede divisória em gesso cartonado  constituída por duas placas ignífugas com classificação El60 de 15 mm de espessura de ambos os lados, aparafusadas a cada lado de uma estrutura de aço galvanizado de 70 mm de largura com colocação de lã de rocha, de acordo com o preconizado nas peças desenhadas e escritas de projeto  de arquitetura e de engenharias. Esta parede deverá ser colocada de modo a servir de fechamento entre a parede em alvenaria a colocar na área da recepção (ponto 3.10) e a laje do piso 1. (Recepção)</t>
  </si>
  <si>
    <t>3.15</t>
  </si>
  <si>
    <t>Fornecimento e aplicação de cerâmico MAVC na recepção (Conforme projeto de Interior Design. A confirmar com amostra no local), de acordo com o preconizado nas peças desenhadas e escritas de projeto, incluindo remates com rodapés, paredes, portas e outros elementos adajcentes ou integrantes da parede revestida, com cimentos cola  indicado pelo fornecedor, incluindo colas, colmatação de roços abertos para passagem de instalações, entre outros trabalhos necessários a um perfeito acabamento. (Recepção - Rvp03)</t>
  </si>
  <si>
    <t>3.16</t>
  </si>
  <si>
    <t>Fornecimento e aplicação de ripado orac flexivel como revestimento dos pilares existentes do Bar e Lobby (Conforme projeto de Interior Design. A confirmar com amostra no local), incluindo remates com rodapés, paredes, portas e outros elementos adajcentes ou integrantes da parede revestida, de acordo com o preconizado nas peças desenhadas e escritas de projeto, incluindo colas e todos os trabalhos e acessórios à sua perfeita execução. (Pilares - Rvp02)</t>
  </si>
  <si>
    <t>3.17</t>
  </si>
  <si>
    <t>Fornecimento e colocação de Vidro Vidreira Algarvia, Planiclear Diamant com 6mm pintado à cor preta (Conforme projeto de Interior Design. A confirmar com amostra no local), c/ colagem integral do pano de vidro utilizando o produto PL 400 da TREMCO (ou equivalente) a suporte limpo e desempenado. Inclui todos os trabalhos, remates e acessórios necessários a um correcto acabamento e funcionamento, de acordo com o preconizado nas peças desenhadas e escritas de projeto.  (Pilares quadrados - Rvp07).</t>
  </si>
  <si>
    <t>3.18</t>
  </si>
  <si>
    <t>Fornecimento e colocação de chapa de Aço Inoxidavel da In-metals, colecção water rhythm, refª T22 Mirage Onyx black mirror, com 0.07mm de espessura. (Conforme projeto de Interior Design. A confirmar com amostra no local). Incluindo todos os trabalhos de corte, aplicação e remate do produto de acordo com especificação do fabricante.s, de acordo com o preconizado nas peças desenhadas e escritas de projeto. (Hall original+ Portico de passagem  entre o Lobby e Bar+ Antecâmara - Rvp08)</t>
  </si>
  <si>
    <t>3.19</t>
  </si>
  <si>
    <t>Fornecimento e colocação de chapa metálica com a espessura adequado à dimensão por forma a não empenar, incluido remates com rodapés, paredes, portas e outros elementos adajcentes ou integrantes da parede revestida, com acabamento escovado à cor champanhe, igual ao do corrimão das escada existente (a aprovar com amostra). Aplicada sobre parede existente. Incluindo todos os trabalhos de corte, aplicação e remate do produto de acordo com especificação do fabricante., de acordo com o preconizado nas peças desenhadas e escritas de projeto. (Elevadores - Rvp04)</t>
  </si>
  <si>
    <t>3.20</t>
  </si>
  <si>
    <t>Fornecimento e execução de pintura sobre paredes  com  tinta aquosa vinílica, mate lavável, ref.ª 10-245 VINYLCLEAN, na cor branco NCS (Conforme projeto de Interior Design. A confirmar com amostra no local), incluindo primário adequado, bem como todos os materiais e trabalhos preparatórios necessários, de acordo com o preconizado nas peças desenhadas e escritas de projeto. (Pi01)</t>
  </si>
  <si>
    <t>3.21</t>
  </si>
  <si>
    <t>Fornecimento e execução de pintura sobre paredes exteriores com tinta da Cin 100% acrílica, cor Ral igual à existente (Conforme projeto de Interior Design. A confirmar com amostra no local), incluindo primário adequado, bem como todos os materiais e trabalhos necessários, de acordo com o preconizado nas peças desenhadas e escritas de projeto. (Acesso garagem)</t>
  </si>
  <si>
    <t>3.22</t>
  </si>
  <si>
    <t>Fornecimento e aplicação de cerâmico primus vitoria liso na cor branco Ref. 000.1 com as dimensões 20x20, incluido remates com rodapés, paredes, portas e outros elementos adajcentes ou integrantes da parede revestida, de acordo com o preconizado nas peças desenhadas e escritas de projeto, com cimentos cola  indicado pelo fornecedor, incluindo colas, colmatação de roços abertos para passagem de instalações, entre outros trabalhos necessários a um perfeito acabamento, de acordo com o preconizado nas peças desenhadas e escritas de projeto.  (Cozinha Bar - Rvp19)</t>
  </si>
  <si>
    <t>3.23</t>
  </si>
  <si>
    <t>Fornecimento e aplicação de aplicação de Papel de parede, tipo LONDONART BOLD-s260, refª de projeto de Interior Design a definir e aprovar com amostra no local, colado sobre suporte limpo e desempenado com cola  indicado pelo fornecedor, disposto através de sobreposição para evitar quebras no padrão e a sua continuidade homogénea. Inclui todos os trabalhos, cortes e acessórios para um perfeito acabamento, de acordo com o preconizado nas peças desenhadas e escritas de projeto. (Instalações Santárias Piso 0 - Rvp 05)</t>
  </si>
  <si>
    <t>3.24</t>
  </si>
  <si>
    <t>Fornecimento e aplicação de  Vidro Vidreira Algarvia, Planiclear Diamant com 6mm pintado à cor RAL 6009 (verde conforme projeto de Interior Design. A confirmar com amostra no local), c/ colagem integral do pano de vidro utilizando o produto PL 400 da TREMCO (ou equivalente) a suporte limpo e desempenado. Inclui todos os trabalhos, remates e acessórios necessários a um correcto acabamento e funcionamento, incluindo todos os trabalhos necessários a um perfeito acabamento, de acordo com o preconizado nas peças desenhadas e escritas de projeto. (Instalação Sanitária Piso 0 - Rvp15)</t>
  </si>
  <si>
    <t>3.25</t>
  </si>
  <si>
    <t>Fornecimento e aplicação de Pedra Mármore Verde Guatemala, acabamento polido com 2cm de espessura (Conforme projeto de Interior Design. A confirmar com amostra no local), incluindo remates com rodapés, paredes, portas e outros elementos adajcentes ou integrantes da parede revestida, de acordo com o preconizado nas peças desenhadas e escritas de projeto, incluindo colas, regularização da parede, colmatação de roços eventuais abertos para passagem de instalações, entre outros trabalhos necessários a um perfeito acabamento. (Instalação Sanitária Piso 0 - Rvp06)</t>
  </si>
  <si>
    <t>3.26</t>
  </si>
  <si>
    <t>Fornecimento e aplicação de ripado orac rigido (Conforme projeto de Interior Design. A confirmar com amostra no local) incluindo remates com rodapés, paredes, portas e outros elementos adajcentes ou integrantes da parede revestida, de acordo com o preconizado nas peças desenhadas e escritas de projeto, incluindo colas, regularização da parede, colmatação de roços eventuais abertos para passagem de instalações, entre outros trabalhos necessários a um perfeito acabamento. (Área do Bar - Rvp 01)</t>
  </si>
  <si>
    <t>3.27</t>
  </si>
  <si>
    <t>Fornecimento e aplicação de Painel ripado em MDF ignifugo com classe de ressitência ao fogo A2-s1 d0, com 20 mm de espessura, fresado, com revestimento em folha de Nogueira tipo Vicaima Naturdor® Nogueira figurada, poro aberto, envernizamento mate (Conforme projeto de Interior Design. A confirmar com amostra no local) . (Lobby), incluindo remates com rodapés, paredes, portas e outros elementos adajcentes ou integrantes da parede revestida, de acordo com o preconizado nas peças desenhadas e escritas de projeto, incluindo colas, regularização da parede, colmatação de roços eventuais abertos para passagem de instalações, entre outros trabalhos necessários a um perfeito acabamento. (Área do Lobby - Rvp 09)</t>
  </si>
  <si>
    <t>3.28</t>
  </si>
  <si>
    <t>Fornecimento e aplicação de cerâmico  primus vitoria liso na cor branco Ref. 000.1 com as dimensões 10x10 a colocar na instalação sanitária do BOH, incluindo remates com rodapés, paredes, portas e outros elementos adajcentes ou integrantes da parede revestida, de acordo com o preconizado nas peças desenhadas e escritas de projeto, com cimentos cola  indicado pelo fornecedor, incluindo colas, colmatação de roços abertos para passagem de instalações , entre outros trabalhos necessários a um perfeito acabamento.  (Instalação Sanitária BOH - Rvp 18)</t>
  </si>
  <si>
    <t>3.29</t>
  </si>
  <si>
    <t>Fornecimento e aplicação de painel de resina fenólica para servir de base ao revestimento a aplicar, incluindo ferragens e acessórios, de acordo com o preconizado nas peças desenhadas e escritas de projeto. Painel (L-3,50x; A-2,70m),com 2 módulos, sendo 3 fixos e 2 portas com sistema de abrir com 0,70cm largura. Prever revestimento segundo projeto de interior design. (Instalações Sanitárias Piso 0)</t>
  </si>
  <si>
    <t>3.30</t>
  </si>
  <si>
    <t>Fornecimento e aplicação de painel de resina fenólica para servir de base ao revestimento a aplicar, incluindo ferragens e acessórios de acordo com o preconizado nas peças desenhadas e escritas de projeto. Painel (L-2,20x; A-2,70m),com 2 módulos, sendo 2 fixos e 1 porta com sistema de abrir com 0,70cm largura. Prever revestimento segundo projeto de interior design. (Instalação Sanitária Feminina Piso 0)</t>
  </si>
  <si>
    <t>3.31</t>
  </si>
  <si>
    <t>Fornecimento e aplicação de painel de resina fenólica para servir de base ao revestimento a aplicar incluindo ferragens e acessórios de acordo com o preconizado nas peças desenhadas e escritas de projeto. Prever revestimento segundo projeto de interior design. Painel (L-0,50x; A-2,70m),com 1 módulo fixo. (Instalação Sanitária Masculina Piso 0).</t>
  </si>
  <si>
    <t>3.32</t>
  </si>
  <si>
    <t>Fornecimento e execução de pintura sobre testas na parte superior dos vãos de fachada na zona do bar  com  tinta aquosa vinílica, mate lavável, ref.ª 10-245 VINYLCLEAN, na cor Taupe NCS S 2005-Y30R (a confirmar com amostra no local), incluindo primário adequado, bem como todos os materiais e trabalhos necessários, de acordo com o preconizado nas peças desenhadas e escritas de projeto. ( Pi01)</t>
  </si>
  <si>
    <t>3.33</t>
  </si>
  <si>
    <t>Fornecimento e execução de seccionamento e forra de caixa de cortina / porta de correr telescópica corta fogo com  forra  em gesso cartonado  com classificação EI120 constituída por dupla placa em gesso cartonado de um dos lados com 25mm de espessura, aparafusada a uma estrutura de aço galvanizado de 48 mm de largura  preenchida com lã de mineral de 40 a 50mm de espessura, composta por montantes (elementos verticais) de abas de 45 mm e canais (elementos horizontais). Realizar o trabalho de acordo com o preconizado nas peças desenhadas e escritas de projeto de arquitetura e de engenharias.</t>
  </si>
  <si>
    <t>3.34</t>
  </si>
  <si>
    <t>Fornecimento e aplicação de Painel de MDF com 20mm de espessura folheado a madeira de Nogueira tipo Vicaima Naturdor® Nogueira figurada, poro aberto, envernizamento mate (Conforme projeto de Interior Design. A confirmar com amostra no local),  incluido remates com rodapés, paredes, portas e outros elementos adajcentes ou integrantes da parede revestida, de acordo com o preconizado nas peças desenhadas e escritas de projeto, incluindo colas, regularização da parede, colmatação de roços eventuais abertos para passagem de instalações, entre outros trabalhos necessários a um perfeito acabamento. (Entrada Principal - Lobby - Rvp 17)</t>
  </si>
  <si>
    <t>3.35</t>
  </si>
  <si>
    <t>Fornecimento e execução de pintura de nichos na área seca do bar  com  tinta aquosa vinílica, mate lavável,ref.ª 10-245 VINYLCLEAN, na cor branco RAL 6009 (verde conforme projeto de Interior Design. A confirmar com amostra no local), incluindo primário adequado, bem como todos os materiais e trabalhos necessários, de acordo com o preconizado nas peças desenhadas e escritas de projeto. (Nichos Bar - Pi07)</t>
  </si>
  <si>
    <t>3.36</t>
  </si>
  <si>
    <t>Fornecimento e aplicação de rodatetos em alheta metálica de remate com 3cm de altura (Conforme projeto de Interior Design. A confirmar com amostra no local), acabamento escovado na cor preta, com todos os materiais e trabalhos inerentes, de acordo com o preconizado nas peças desenhadas e escritas de projeto. (Recepção)</t>
  </si>
  <si>
    <t>3.37</t>
  </si>
  <si>
    <t>Fornecimento e execução de pintura de superfícies em ORAC DECOR com esmalte aquoso 100% acrílico, com classe 1 de resistência à esfrega húmida (NP EN 13300), com eficácia dos conservantes da película ao aparecimento de algas (EN 15458) e fungos (EN 15457) de grau 0, de classificação A+ quanto à
"Qualidade do ar interior" segundo a regulamentação Francesa A, e de aspecto liso semi-mate "12- 230 Cinacryl Mate" da CIN, em cor a definir, nas demãos necessárias a um perfeito acabamento. incluir primário adequado, bem como todos os materiais e trabalhos necessários, de acordo com o preconizado nas peças desenhadas e escritas de projeto.  (Bar sobre Rvp01 e Rvp02 - Pi04)</t>
  </si>
  <si>
    <t>3.38</t>
  </si>
  <si>
    <t>Fornecimento e execução de pintura de paredes interiores com esmalte aquoso 100% acrílico, com classe 1 de resistência à esfrega húmida (NPEN 13300), com eficácia dos conservantes da película ao aparecimento de algas (EN 15458) e fungos (EN 15457) de grau 0, de classificação A+ quanto "Qualidade do ar interior" segundo a regulamentação Francesa A, e de aspecto liso semi-mate "12-230 Cinacryl Mate" da CIN, em cor a definir, nas demãos necessárias a um perfeito acabamento. incluir primário adequado, bem como todos os materiais e trabalhos necessários, de acordo com o preconizado nas peças desenhadas e escritas de projeto.  (Bar Geral - Pi08)</t>
  </si>
  <si>
    <t>4.</t>
  </si>
  <si>
    <t>4.1</t>
  </si>
  <si>
    <t>Fornecimento e montagem de Tecto continuo formado por camada simples de placas tipo Knauf Standard Tipo A/12,5 mm aparafusadas a uma estrutura metálica em chapa galvanizada Z 140 de maestras 47/17/0,6 mm (com separação máxima de 500 mm), suspensa da laje mediante “pivot + varão roscado M6 zincado + bucha metálica M6” (ou outra), com separação máxima de 1000 mm ou equivalente. Inclui aplicação de “banda acústica Knauf/30 mm” entre os perfis L e as paredes perimetrais e de lã mineral Knauf Ultracoustic 50 mm. Tratamento de juntas com cinta de papel e pasta Unik e aplicação do “primário Knauf pintura”. Pronta a pintar de acordo com o preconizado nas peças desenhadas e escritas de projeto de arquitetura e de engenharias. (Te 01)</t>
  </si>
  <si>
    <t>4.2</t>
  </si>
  <si>
    <t>Fornecimento e montagem de Tecto contínuo Acústico Absorvente Knauf D127 Cleaneo 12/25 R Bordes UF ou equivalente: Tecto continuo formado por camada simples de Placas de Gesso Laminado perfuradas Knauf Cleaneo (*) Rectilinea 12/25 R com Bordes UFF, aparafusadas a uma estrutura metálica secundária em chapa galvanizada Z 140 de maestras secundárias 60/27/0,6 mm (com separação máxima de 330 mm), fixa de forma perpendicular e a distinto nivel mediante cavaletes a uma estrutura metálica primária em chapa galvanizada Z 140 de maestras 60/27/0,6 mm (com separação máxima de 1000 mm) e suspensas da laje ou tecto suporte mediante “Suspensões Knauf" (com separação máxima de 950 mm). Inclui aplicação de “banda acústica Knauf/30” entre os perfis U e as paredes perimetrais, e de lã mineral Knauf Ultracoustic Plus 50 mm de espessura e indice de Permeabilidade ao ar r ≥ 10 kPa.s/m2. Tratamento de juntas com pasta Knauf “Uniflott” e aplicação do “Primário Knauf pintura”. Pronta a pintar BOHPronta a pintar de acordo com o preconizado nas peças desenhadas e escritas de projeto de arquitetura e de engenharias. (Te 04)</t>
  </si>
  <si>
    <t>4.3</t>
  </si>
  <si>
    <t>Fornecimento e montagem de tecto continuo formado por camada simples de placas tipo Knauf Hidrófuga Tipo H1/12,5mm aparafusadas a uma estrutura metálica em chapa galvanizada Z 140 de maestras 47/17/0,6mm ou equivalente. Tratamento de juntas com cinta de papel e pasta Unik Hidro e aplicação do “Primário Knauf pintura”. Pronta a pintar de acordo com o preconizado nas peças desenhadas e escritas de projeto de arquitetura e de engenharias. (Te03)</t>
  </si>
  <si>
    <t>4.4</t>
  </si>
  <si>
    <t>Fornecimento e montagem de tecto falso em Revestimento decorativo da marca Barrisol, ref. Mirror Etain Moiré / Tin Moiré BHME 1 (Conforme projeto de Interior Design. A confirmar com amostra no local), incluindo todos os acessórios e trabalhos necessários para a perfeita fixação, remates com pilares e teto falso perfiférico,  de acordo com as indicações das peças escritas e desenhadas do projecto de arquitetura e de engenharias. (Te 02)</t>
  </si>
  <si>
    <t>4.5</t>
  </si>
  <si>
    <t>Fornecimento e montagem de testas em gesso cartonado Standard revestido com orac flexível na zona do bar, constituído por 1 placa 13mm standard, incluindo todos os trabalhos e fornecimentos necessários a um perfeito acabamento, tudo de acordo com as indicações das peças escritas e desenhadas do projecto de arquitetura e de engenharias. (Te01)</t>
  </si>
  <si>
    <t>4.6</t>
  </si>
  <si>
    <t>Fornecimento e montagem de testas em gesso cartonado Standard com acabamento pintado, constituído por 1 placa 13mm standard, todos os trabalhos e fornecimentos necessários a um perfeito acabamento, tudo de acordo com as indicações das peças escritas e desenhadas do projecto de arquitetura e de engenharias. (Te01)</t>
  </si>
  <si>
    <t>4.7</t>
  </si>
  <si>
    <t>Fornecimento e montagem de testas em gesso cartonado Standard revestidas a painel em MDF ignifugo com classe de resistência ao fogo A2-s1 d0, com 20 mm de espessura, com acabamento pintado, constituído por 1 placa 13mm standard, incluindo todos os trabalhos e fornecimentos necessários a um perfeito acabamento, tudo de acordo com as indicações das peças escritas e desenhadas do projecto arquitetura e de engenharias.</t>
  </si>
  <si>
    <t>4.8</t>
  </si>
  <si>
    <t>Fornecimento e execução de pintura sobre  tectos, sancas e frisos com tinta aquosa acrílica, com aspecto liso mate, ref.ª 10-250 VINYLMATT,na cor branco RAL 9010 (Conforme projeto de Interior Design. A confirmar com amostra no local), incluindo primário adequado,bem como todos os materiais e trabalhos necessários, de acordo com o preconizado nas peças desenhadas e escritas de projeto de arquitetura. (Pi02)</t>
  </si>
  <si>
    <t>4.9</t>
  </si>
  <si>
    <t>Fornecimento e execução de pintura sobre  tectos, sancas e frisos com tinta aquosa acrílica, com aspecto liso mate, ref.ª 10-250 VINYLMATT, na cor branco RAL 9010 (Conforme projeto de Interior Design. A confirmar com amostra no local), incluindo primário adequado, bem como todos os materiais e trabalhos necessários, de acordo com o preconizado nas peças desenhadas e escritas de projeto.Nas instalações sanitárias deve ser considerado tratamento anti fungos. (Pi03)</t>
  </si>
  <si>
    <t>4.10</t>
  </si>
  <si>
    <t>Fornecimento e assentamento de sanca de iluminação em placas de gesso cartonado hidrófugo, incluindo estrutura metálica do sistema, barramentos, pintura e todos os materiais e acessórios necessários a um perfeito acabamento, de acordo com o preconizado nas peças desenhadas e escritas de projeto. (Instalações Sanitárias )</t>
  </si>
  <si>
    <t>4.11</t>
  </si>
  <si>
    <t>Fornecimento e assentamento de sanca de iluminação em placas de gesso cartonado standard, incluindo estrutura metálica do sistema, barramentos, pintura e todos os materiais e acessórios necessários a um perfeito acabamento, de acordo com o preconizado nas peças desenhadas e escritas de projeto. (Zona Cliente)</t>
  </si>
  <si>
    <t>4.12</t>
  </si>
  <si>
    <t>Fornecimento e aplicação de alçapão 60x60 cm para acesso à máquina de AVAC. Inclui todos os materiais e trabalhos necessários, de acordo com o preconizado nas peças desenhadas e escritas de projeto, bem como dos projetos de engenharias.</t>
  </si>
  <si>
    <t>4.13</t>
  </si>
  <si>
    <t>Fornecimento e assentamento de Chapa de Aço Inoxidavel da In-metals, colecção water rhythm, refª T22 Mirage Onyx black mirror, com 0.07mm de espessura, sobre placa de gesso hidrófuga a colocar no tecto da antecâmara de acesso à recepção (Conforme projeto de Interior Design. A confirmar com amostra no local), incluindo todos os materiais e acessórios necessários a um perfeito acabamento, de acordo com o preconizado nas peças desenhadas e escritas de projeto. (Antecâmara - Rvp08)</t>
  </si>
  <si>
    <t>4.14</t>
  </si>
  <si>
    <t>Fornecimento e assentamento de Chapa de Aço Inoxidavel da In-metals, colecção water rhythm, refª T22 Mirage Onyx black mirror, com 0.07mm de espessura, sobre placa de gesso hidrófuga a colocar no tecto da antecâmara de acesso à recepção (Conforme projeto de Interior Design. A confirmar com amostra no local), incluindo todos os materiais e acessórios necessários a um perfeito acabamento, de acordo com o preconizado nas peças desenhadas e escritas de projeto. (Antecâmara Lobby - Rvp 08)</t>
  </si>
  <si>
    <t>5.</t>
  </si>
  <si>
    <t>Serralharias</t>
  </si>
  <si>
    <t>5.1</t>
  </si>
  <si>
    <t>Fornecimento e assentamento de estrutura metálica a colocar na antecâmara, em Aço, com pilares, vigas e acabamento primário antioxidante, colocado com ligações soldadas em obra, a uma altura de até 3 m, de acordo com o preconizado nas peças desenhadas e escritas de projeto de arquitetura e de engenharia.</t>
  </si>
  <si>
    <t>5.2</t>
  </si>
  <si>
    <t>Fornecimento e apliação de guarda em barra chata com 2mm de espessura, com acabamento escovado na cor champanhe (Conforme projeto de Interior Design. A confirmar com amostra no local).  Incluindo todos os trabalhos necessários e fixações ao pavimento. A estabilidade da peça deverá ser garantida pelo fabricante. De acordo com o preconizado nas peças desenhadas e escritas de projeto.</t>
  </si>
  <si>
    <t>6.</t>
  </si>
  <si>
    <t>Caixilharias e vãos exteriores</t>
  </si>
  <si>
    <t>6.1</t>
  </si>
  <si>
    <t>Adaptação, reparação e substituição de vãos de fachada em concordância com as caracteristicas existentes no local.  A sua execução deve estar de acordo  com o preconizado nas peças desenhadas e escritas de projeto de arquitetura e de engenharia Nota: Deverá ser respeitada e mantida a métrica da fachada existente com as adaptações apresentadas em projeto.</t>
  </si>
  <si>
    <t>6.1.1</t>
  </si>
  <si>
    <t>Caixilharia com 6,97m x 2,62m (C x Alt) com 2 folhas de correr automáticas com mecanismo antipânico integral da marca Manusa ou equivalente e 1 porta de batente com abertura para o exterior,  incluindo aro, dobradiças , fechadura, puxadores de acorodo com o sistema a colocar.  Todos os trabalhos preparatórios, acessórios e complementares, conforme mapa de vãos e pormenores.
Incluindo automatismos, ligação à CDI e todos os acessórios do sistema necessários ao seu bom funcionamento. De acordo com o preconizado nas peças desenhadas e escritas de projeto. (Antecâmara Recepção)</t>
  </si>
  <si>
    <t>6.1.2</t>
  </si>
  <si>
    <t>Porta com 2 folhas de correr automático com um total de vão 4,71m x 2,40m (C x Alt), com mecanismo antipânico integral da marca Manusa ou equivalente,  incluindo aro, dobradiças , fechadura, puxadores de acorodo com o sistema a colocar.  Todos os trabalhos preparatórios, acessórios e complementares, conforme mapa de vãos e pormenores.
Incluindo automatismos, ligação à CDI e todos os acessórios do sistema necessários ao seu bom funcionamento. De acordo com o preconizado nas peças desenhadas e escritas de projeto. (Antecâmara Recepção)</t>
  </si>
  <si>
    <t>6.1.3</t>
  </si>
  <si>
    <t>Vão com 5,60m x 3,80m (C x Alt) com 1 porta de batente com 1 folha e abertura para o exterior,  incluindo aro, dobradiças , fechadura, puxadores de acorodo com o sistema a colocar.  Todos os trabalhos preparatórios, acessórios e complementares, conforme mapa de vãos e pormenores.
Incluindo automatismos, ligação à CDI e todos os acessórios do sistema necessários ao seu bom funcionamento. De acordo com o preconizado nas peças desenhadas e escritas de projeto. (Acesso à esplanada)</t>
  </si>
  <si>
    <t>6.2</t>
  </si>
  <si>
    <t>Requalificação da porta principal de acesso ao bar.</t>
  </si>
  <si>
    <t>7.</t>
  </si>
  <si>
    <t>Diversos</t>
  </si>
  <si>
    <t>7.1</t>
  </si>
  <si>
    <t>Fornecimento e colocação de cortina corta-fogo EI60 tipo  Cortina BACHFIRE EW 60/120 - SEM IRRIGAÇÃO, de acordo com o preconizado nas peças desenhadas e escritas dos projetos de interior design e engenharias, incluindo todos os trabalhos e acessórios à sua perfeita execução e resopetiva ligação à CDI.</t>
  </si>
  <si>
    <t>7.2</t>
  </si>
  <si>
    <t>Fornecimento e montagem de caleira com grelha, em aço inox, e baixo perfil incluindo todos os trabalhos necessários, de acordo com projeto de esgoto</t>
  </si>
  <si>
    <t xml:space="preserve">un </t>
  </si>
  <si>
    <t>8.</t>
  </si>
  <si>
    <t>8.1</t>
  </si>
  <si>
    <t>Estrutura Geberit duofix para sanita suspensa, 112cm, com autoclismo de interior sigma 12cm, curva de descarga de pvc (IS01)</t>
  </si>
  <si>
    <t>8.2</t>
  </si>
  <si>
    <t>Placa de comando Geberit, Sigma 70, dupla descarga, cor preto (Conforme projeto de Interior Design. A confirmar com amostra no local). (IS02A)</t>
  </si>
  <si>
    <t>8.3</t>
  </si>
  <si>
    <t>Urinol cerâmico branco da SANITANA, Modelo Capri, Ref.ª H843 0700 0048 41 com sensor de descarga automática integrado, incluindo transformador
para sensor electrónico 24V, Ref.ª H895 0710 0000 01  (Conforme projeto de Interior Design. A confirmar com amostra no local). (IS04)</t>
  </si>
  <si>
    <t>8.4</t>
  </si>
  <si>
    <t>Sanita suspensa e tampo queda amortecida D-NEO 370x540 da Duravit ref. 457709. (IS03)</t>
  </si>
  <si>
    <t>8.5</t>
  </si>
  <si>
    <t>Misturadora monocomando de lavatório para instalação encastrável da Hansgrohe, refª73351670, modelo Tecturis S, EcoSmart+ de parede com bica 22,5cm. (Conforme projeto de Interior Design. A confirmar com amostra no local). Inclui todas as peças, fixações e remates necessários ao seu correcto funcionamento. (IS09)</t>
  </si>
  <si>
    <t>8.6</t>
  </si>
  <si>
    <t>Sifão de garrafa de acordo com o desenho do lavatório nas peças desenhadas (Conforme projeto de Interior Design. A confirmar com amostra no local), inclui sistema linear de recolha de água, valvula e todos os acessórios. Confirmar com fornecedor. Inclui todas as peças, fixações e remates necessários para o seu correto funcionamento. De acordo com o preconizado nas peças desenhadas e escritas de projeto. (IS10)</t>
  </si>
  <si>
    <t>8.7</t>
  </si>
  <si>
    <t>Porta rolos da MEDICLINICS, modelo Jumbo Ref.ª PR2783B em aço, acabamento onforme projeto de interior design. (Conforme projeto de Interior Design. A confirmar com amostra no local) (IS16)</t>
  </si>
  <si>
    <t>8.8</t>
  </si>
  <si>
    <t>Porta piaçaba da MEDICLINICS, Ref.ª ES0010B em aço com acabamento acabamento onforme projeto de interior design, com fixação à parede.  (Conforme projeto de Interior Design. A confirmar com amostra no local) (IS17)</t>
  </si>
  <si>
    <t>8.9</t>
  </si>
  <si>
    <t>Cabide da JNF, Ref.ª IN.14.520.AL.SB Instalação Sanitária Acessivel - acabamento em aço inox (Conforme projeto de Interior Design. A confirmar com amostra no local) (IS18)</t>
  </si>
  <si>
    <t>8.10</t>
  </si>
  <si>
    <t>Contentor higiénico mural da BOBRICK,Ref.ª PP0006B em aço com acabamento acabamento onforme projeto de interior design. (Conforme projeto de Interior Design. A confirmar com amostra no local) (IS20)</t>
  </si>
  <si>
    <t>8.11</t>
  </si>
  <si>
    <t>Dispensador de toalhas de papel da JNF, ref. IN.60.548.TB, acabamento Titanium Black (Conforme projeto de Interior Design. A confirmar com amostra no local) (IS26)</t>
  </si>
  <si>
    <t>8.12</t>
  </si>
  <si>
    <t>Cesto de Papéis da JNF, ref. IN.60.561.TB, acabamento Titanium Black (Conforme projeto de Interior Design. A confirmar com amostra no local) (IS26)</t>
  </si>
  <si>
    <t>8.13</t>
  </si>
  <si>
    <t>Secador de mãos (IS27)</t>
  </si>
  <si>
    <t>8.14</t>
  </si>
  <si>
    <t>Montagem  e ligação de torneiras e louças sanitárias incluindo mão de Obra e todos os materiais necessários.</t>
  </si>
  <si>
    <t>8.15</t>
  </si>
  <si>
    <t>Sanita campacta Urb.y Plus D|C, ref. 146024, da marca Sanindusa com tampo de sanita Urb.y slim ref. 24061. (Instalações Sanitárias BOH- IS28)</t>
  </si>
  <si>
    <t>8.16</t>
  </si>
  <si>
    <t>Lavatório Urb.y. 65x47 ref. 140350 da marca Sanindusa. (Instalações Sanitárias BOH - IS29)</t>
  </si>
  <si>
    <t>8.17</t>
  </si>
  <si>
    <t>Fornecimento e colocação de misturadora de lavatório advance com ecospot , modelo da séria "Ecospot" da marca Sanindusa, ref. 527030111. Incluindo trabalhos inerentes, conforme peças desenhadas de projecto. (Instalações Sanitárias BOH - IS29)</t>
  </si>
  <si>
    <t>8.18</t>
  </si>
  <si>
    <t>Espelho Dream Circular diâmetro 65 da Sanindusa, Refª 6217000 (Conforme projeto de Interior Design. A confirmar com amostra no local - IS29)</t>
  </si>
  <si>
    <t>8.19</t>
  </si>
  <si>
    <t>Fornecimento e aplicação de bancada e lavatório integrado em Pedra Marmore Verde Guatemala, com acabamento polido, 20mm de espessura, (Conforme projeto de Interior Design. A confirmar com amostra no local). De acordo com o preconizado em peças escritas e desenhadas de projeto. Inclui todas as peças, fixações e remates necessários para a sua correta instalação e funcionamento. (IS05)</t>
  </si>
  <si>
    <t>8.20</t>
  </si>
  <si>
    <t>Espelho Saint Gobain SGG Miralite Revolution 6mm cor Gris (Conforme projeto de Interior Design. A confirmar com amostra no local), aplicado sobre base em MDF hidrofugo com 20mm de espessura com acabamento lacado à cor preta (Conforme projeto de Interior Design. A confirmar com amostra no local) e remate perifério em chapa metálica com 2mm de espessura com acabamento preto (Conforme projeto de Interior Design. A confirmar com amostra no local) DIM 1.00(A) x 1.70(L) m. Fixação através de barras chatas ao tecto com acabamento na cor preto (Conforme projeto de Interior Design. A confirmar com amostra no local) e reforço na parte de trás, com área inferior ao MDF, efeito flutuante). De acordo com o preconizado em peças escritas e desenhadas de projeto. (IS31)</t>
  </si>
  <si>
    <t>8.21</t>
  </si>
  <si>
    <t>Fraldário horizontal Branco - Mediclinics (IS32)</t>
  </si>
  <si>
    <t>9.</t>
  </si>
  <si>
    <t>9.1</t>
  </si>
  <si>
    <t>Desmontagem dos equipamentos eléctricos no interior do quarto, como tomadas, interruptores e luminárias, incluindo limpeza, acondicionamento e entregue ao Dono de Obra para acções de manutenção e reposição.</t>
  </si>
  <si>
    <t>it</t>
  </si>
  <si>
    <t>9.2</t>
  </si>
  <si>
    <t>Desmontagem e desactivação de equipamentos eléctricos no interior do quarto, incluindo isolamento e desactivação de ligações a anular, como chamada de emergência, economizador de cartão e sistema de som do WC, incluindo limpeza, acondicionamento e entregue ao Dono de Obra para acções de manutenção e reposição.</t>
  </si>
  <si>
    <t>10.</t>
  </si>
  <si>
    <t>10.1</t>
  </si>
  <si>
    <t>Fornecimento e aplicação de luminárias, incluindo todos os trabalhos necessarios de remates ao teto e ligações elétricas.</t>
  </si>
  <si>
    <t>Vg</t>
  </si>
  <si>
    <t>11.</t>
  </si>
  <si>
    <t xml:space="preserve">Equipamentos </t>
  </si>
  <si>
    <t>11.1</t>
  </si>
  <si>
    <t>Fornecimeno e aplicação de SmartTv de 55'' da marca LG incluido sistema de suporte à parede, de acordo com o preconizado nas peças desenhadas e escritas de projeto.</t>
  </si>
  <si>
    <t>Un</t>
  </si>
  <si>
    <t>3.21.1</t>
  </si>
  <si>
    <t>3.21.1.1</t>
  </si>
  <si>
    <t>3.21.2</t>
  </si>
  <si>
    <t>3.21.2.1</t>
  </si>
  <si>
    <r>
      <rPr>
        <sz val="10"/>
        <color rgb="FF000000"/>
        <rFont val="Calibri"/>
        <family val="2"/>
      </rPr>
      <t>Fornecimento e assentamento de soleira em pedra Mármore Estremoz Claro, com acabamento amaciado</t>
    </r>
    <r>
      <rPr>
        <sz val="10"/>
        <color rgb="FFFF0000"/>
        <rFont val="Calibri"/>
        <family val="2"/>
      </rPr>
      <t xml:space="preserve"> </t>
    </r>
    <r>
      <rPr>
        <sz val="10"/>
        <color rgb="FF000000"/>
        <rFont val="Calibri"/>
        <family val="2"/>
      </rPr>
      <t>e arestas boleadas, nas portas de entrada no quarto, com espessura de 2cm. Dimensões conforme projeto e dimensões existentes no local (comprimento 0,90m</t>
    </r>
    <r>
      <rPr>
        <sz val="10"/>
        <color rgb="FFFF0000"/>
        <rFont val="Calibri"/>
        <family val="2"/>
      </rPr>
      <t xml:space="preserve"> </t>
    </r>
    <r>
      <rPr>
        <sz val="10"/>
        <color rgb="FF000000"/>
        <rFont val="Calibri"/>
        <family val="2"/>
      </rPr>
      <t>x largura variável com um mínimo de 0,135m). Inclui rasgo para acomodar dilatação do pavimento do interior do quarto, conforme indicações do fabricante. Incluindo a remoção parcial da betonilha existente para reduzir a cota e  conseguir um melhor nivelamento da entrada e adequada preparação da superficie.
(comunicação entre quartos)</t>
    </r>
  </si>
  <si>
    <t>3.21.2.2</t>
  </si>
  <si>
    <t>Fornecimento e assentamento de perfil de transição de pavimentos em aço inoxidável V2A, tipo "Schlüter-RENO-TK", incluindo fixação e todos os trabalhos preparatórios, acessórios e complementares, necessários a um perfeito acabamento, conforme preconizado nas peças desenhadas e escritas de projeto.
(comunicação entre quartos)</t>
  </si>
  <si>
    <t>3.21.3</t>
  </si>
  <si>
    <t>3.21.3.1</t>
  </si>
  <si>
    <t>Fornecimento e aplicação de vão de porta comunicante interior, corta-fogo e acústica tipo "Portaro" EI30 AC40+40dB da Vicaima (barra de calafetagem HS para desempenho de 41dB), acabamento Naturdor Nogueira mate por aberto, dimensão de A/900+900mm/C (sendo a espessura de parede), porta Essential lisa de 47mm, interior performance conforme certificação do produto, aro em contraplacado, guarnições retas de 60mm à ½ esquadria, maquinação da porta para fornecimento e montagem de fechadura Assa Abloy VingCard ESSENCE RFID BLE composta por um Conjunto de puxadores wing, leitor de proximidade e caixa de fechadura ANSI (confirmar com especialidades - fechadura e puxadores não incluídos), dobradiças ocultas, mola não incluída. (Ficha técnica e desenho em anexo). Borrachas e dobradiças pretas, certificado do produto, e tudo o demais necessário para o seu correto funcionamento. Com todos os trabalhos e materiais necessários para uma boa execução e de acordo com recomendações do fabricante e mapa de vãos, de acordo com o preconizado nas peças desenhadas e escritas de projeto.
(porta entre quartos comunicantes)</t>
  </si>
  <si>
    <t>TOTAL QUARTO COMUNICANTE</t>
  </si>
  <si>
    <t>TOTAL QUARTOS COMUNICANTES</t>
  </si>
  <si>
    <t>As células sombreadas a azul representam os descritivos  e as áreas refrentes à área da Loja - APLICÁVEL EM TODO O DOCUMENTO</t>
  </si>
  <si>
    <t>Piso 1</t>
  </si>
  <si>
    <t xml:space="preserve">piso 2 </t>
  </si>
  <si>
    <t>piso 3</t>
  </si>
  <si>
    <t>piso 4</t>
  </si>
  <si>
    <t>piso 5</t>
  </si>
  <si>
    <t>piso 7</t>
  </si>
  <si>
    <t>piso 8</t>
  </si>
  <si>
    <t>piso 9</t>
  </si>
  <si>
    <t>CORREDOR - piso 1</t>
  </si>
  <si>
    <t>3.22.1</t>
  </si>
  <si>
    <t>3.22.1.1</t>
  </si>
  <si>
    <t>3.22.1.2</t>
  </si>
  <si>
    <t>Execução de todos os trabalhos de Demolição de perfil de madeira, localizado horizontalmente a cerca de 0.90m de altura, pregado à parede, com meios manuais, sem deteriorar os elementos construtivos contíguos, e carga manual para camião ou contentor.</t>
  </si>
  <si>
    <t>3.22.1.3</t>
  </si>
  <si>
    <t>Execução de todos os trabalhos de Demolição de rodapé de madeira, com meios manuais, sem deteriorar os elementos construtivos contíguos, e carga manual para camião ou contentor.</t>
  </si>
  <si>
    <t>3.22.1.4</t>
  </si>
  <si>
    <t>Execução de todos os trabalhos de Demolição de cantoneira de proteção contra impactos (aplicada sobre pedra, sobre estuque ou outros materiais), com meios manuais, sem deteriorar os elementos construtivos contíguos, e carga manual para camião ou contentor. A remoção do elemento deve ser executada de forma cuidada, garantindo-se a integridade do suporte.</t>
  </si>
  <si>
    <t>3.22.1.5</t>
  </si>
  <si>
    <t>Execução de todos os trabalhos de Demolição de tecto falso contínuo de placas de gesso ou estafe, situado a uma altura menor de 4 m, com meios manuais, sem deteriorar os elementos construtivos contíguos, e carga manual para camião ou contentor.</t>
  </si>
  <si>
    <t>3.22.1.6</t>
  </si>
  <si>
    <t>Demolição de tecto falso amovível de placas metálicas situado a uma altura menor de 4 m, com meios manuais, sem deteriorar os elementos construtivos aos quais está fixado, e carga manual para camião ou contentor.</t>
  </si>
  <si>
    <t>3.22.2</t>
  </si>
  <si>
    <t>3.22.2.1</t>
  </si>
  <si>
    <t>Desmontagem dos equipamentos eléctricos no corredor e compartimentos contíguos, como tomadas, interruptores e luminárias, incluindo a limpeza e  transporte para vazadouro autorizado dos elementos desmontados.</t>
  </si>
  <si>
    <t>3.22.2.2</t>
  </si>
  <si>
    <t>Desmontagem e desactivação de equipamentos eléctricos no corredor e compartimentos contíguos, incluindo isolamento e desactivação de ligações a anular, como chamada de emergência, economizador de cartão e sistema de som do WC, incluindo a limpeza e  transporte para vazadouro autorizado dos elementos desmontados.</t>
  </si>
  <si>
    <t>3.22.3</t>
  </si>
  <si>
    <t>3.22.3.1</t>
  </si>
  <si>
    <t>Trabalhos de regularização de pavimentos com recurso a auto-nivelante adequado na preparação das bases para assentamento dos revestimentos de pavimento previstos em projeto de Interior Design, incluindo todos os trabalhos necessários à sua perfeita execução, de acordo com o preconizado nas peças desenhadas e escritas de projeto.
(Corredor quartos)</t>
  </si>
  <si>
    <t>3.22.3.2</t>
  </si>
  <si>
    <t>Fornecimento e aplicação de carpete "Naban Carpets", refª Axminster 35 (altura = 10,8mm) sobre camada de underlay (dupla colagem ao pavimento), esp=6mm, assente em base regularizada e limpa. Mescla de cor composta por tufos ARS a definir (Conforme projeto de Interior Design. A confirmar com amostra no local). 
(Corredor quartos)</t>
  </si>
  <si>
    <t>3.22.3.3</t>
  </si>
  <si>
    <t xml:space="preserve">Fornecimento e aplicação de Underlay ref. ME-227-C Cloud 9 Flame retardand 8, de acordo com o preconizado nas peças desenhadas e escritas de projeto, em base devidamente preparada e nivelada, incluindo todos os trabalhos necessários ao seu perfeito acabamento.  
(Corredor quartos)
</t>
  </si>
  <si>
    <t>3.22.3.4</t>
  </si>
  <si>
    <t>Fornecimento e colocação de Rodapé em MDF com classe de resistência ao fogo A1, com acabamento Naturdor Nogueira figurado mate poro aberto, com espessura conforme projeto de interior design, idêntico ao painel aplicado nas paredes
(Corredor quartos)</t>
  </si>
  <si>
    <t>3.22.3.5</t>
  </si>
  <si>
    <t xml:space="preserve">Vitrificação dos pavimentos e escada em pedra. Inclui limpeza profunda com secagem total da superfície e aplicação de tapa poros antes da cristalização. Conforme previsto em projeto de Interior Design, incluindo todos os trabalhos necessários à sua perfeita execução, de acordo com o preconizado nas peças desenhadas e escritas de projeto. 
(Escadas e Hall dos elevadores)
</t>
  </si>
  <si>
    <t>3.22.3.6</t>
  </si>
  <si>
    <t>Fornecimento e assentamento de perfil de transição de pavimentos em aço inoxidável V2A, tipo "Schlüter-RENO-TK", incluindo fixação e todos os trabalhos preparatórios, acessórios e complementares, necessários a um perfeito acabamento, conforme preconizado nas peças desenhadas e escritas de projeto.
(Corredor quartos)</t>
  </si>
  <si>
    <t>3.22.4</t>
  </si>
  <si>
    <t>3.22.4.1</t>
  </si>
  <si>
    <t xml:space="preserve">Fornecimento e assentamento de alvenaria interior simples de tijolo cerâmico furado de 30x20x07cm, assente com argamassa de cimento e areia ao traço 1:4, incluindo todos os trabalhos e acessórios necessários á sua perfeita execução para colocação da estrutura da sanita, de acordo com o preconizado nas peças desenhadas e escritas de projeto. </t>
  </si>
  <si>
    <t>3.22.4.2</t>
  </si>
  <si>
    <t xml:space="preserve">Massa de enchimento tipo Estuque, para paredes de alvenaria, aplicada em duas camadas: esboço com 2 cm de espessura e acabamento com espessura até 3 mm, a aplicar após esboço completamente seco. Pronta a receber revestimento conforme mapa de acabamentos, remates com massas existentes, bem como todos os restantes acessórios e trabalhos necessários a um bom acabamento bem como eventuais meios elevatórios. </t>
  </si>
  <si>
    <t>3.22.4.3</t>
  </si>
  <si>
    <t xml:space="preserve">Regularização de paredes através da aplicação de argamassa ou massa apropriada compatível com a superfício existente, garantindo-se a homogeneidade do resultado. Inclui limpeza e reparação de imperfeições e aplicação de impermeabilizante, se ncessário. Conforme previsto em projeto de Interior Design, incluindo todos os trabalhos necessários à sua perfeita execução, de acordo com o preconizado nas peças desenhadas e escritas de projeto. </t>
  </si>
  <si>
    <t>3.22.4.4</t>
  </si>
  <si>
    <t xml:space="preserve">Limpeza e tratamento de paramentos em pedra. Inclui limpeza profunda com secagem total da superfície e aplicação de tapa poros antes da impermeabilização. Conforme previsto em projeto de Interior Design, incluindo todos os trabalhos necessários à sua perfeita execução, de acordo com o preconizado nas peças desenhadas e escritas de projeto. 
(Escadas, Hall dos elevadores e corredor quartos)
</t>
  </si>
  <si>
    <t>3.22.4.5</t>
  </si>
  <si>
    <t xml:space="preserve">Fornecimento e montagem de parede em gesso cartonado com placagem de um dos lados, com pintura branca a vedar a área de corredor de acesso fronteira à área a intervencionar, a fim de garantir a segurança de pessoas e evitar ruido e poluição visual desnecessários durante o decorrer dos trabalhos. </t>
  </si>
  <si>
    <t>3.22.4.6</t>
  </si>
  <si>
    <t>Fornecimento e execução de pintura com tinta aquosa acrílica, com aspecto liso mate, ref.ª 10-250 VINYLMATT, na cor branco Ral 9010 (conforme projeto de Interior Design. A confirmar com amostra no local), sobre paredes, incluindo primário adequado, bem como todos os materiais e trabalhos necessários, de acordo com o preconizado nas peças desenhadas e escritas de projeto.
(zona staff)</t>
  </si>
  <si>
    <t>3.22.4.7</t>
  </si>
  <si>
    <t>Fornecimento e aplicação de forra em MDF com classe de resistência ao fogo A1, com acabamento Naturdor Nogueira figurado mate poro aberto, com espessura conforme projeto de interior design, idêntico ao rodapé. Conforme previsto em projeto de Interior Design e desenho de preparação (A confirmar com amostra no local), incluindo todos os trabalhos necessários à sua perfeita execução, de acordo com o preconizado nas peças desenhadas e escritas de projeto. 
(portas quartos - lateral esquerda 30cm + lateral direita 12cm + bandeira)</t>
  </si>
  <si>
    <t>3.22.4.8</t>
  </si>
  <si>
    <t>Fornecimento e aplicação de forra em MDF com classe de resistência ao fogo A1, com acabamento Naturdor Nogueira figurado mate poro aberto, com espessura conforme projeto de interior design, idêntico ao rodapé. Conforme previsto em projeto de Interior Design e desenho de preparação (A confirmar com amostra no local), incluindo todos os trabalhos necessários à sua perfeita execução, de acordo com o preconizado nas peças desenhadas e escritas de projeto. 
(portas quartos em nicho - totalidade do nicho)</t>
  </si>
  <si>
    <t>3.22.4.9</t>
  </si>
  <si>
    <t xml:space="preserve">Fornecimento e execução de revestimento com papel de parede vinílico com design em relevo semelhante ao linho. Revestimento de acabamento olefinado em um suporte não tecido, da "VESCOM", refª Lynn 3001.09. (Conforme projeto de Interior Design. A confirmar com amostra no local). Aplicado sobre suporte limpo e desempenado. Inclui preparação da base para um perfeito acabamento, conforme indicações do fornecedor/instalador. Inclui a colagem com cola adequada às superfícies a aderir. Trabalho de acordo com o preconizado nas peças desenhadas e escritas de projeto. </t>
  </si>
  <si>
    <t>3.22.4.10</t>
  </si>
  <si>
    <t>Fornecimento e aplicação de cantoneiras metálicas (proteção contra impactos) aplicadas nas arestas vivas das paredes, com acabamento lacado na cor taupe NCS S 2005-Y30R (conforme projeto de Interior Design. A confirmar com amostra no local), incluindo primário adequado, bem como todos os materiais e trabalhos necessários, de acordo com o preconizado nas peças desenhadas e escritas de projeto.
(Corredor quartos)</t>
  </si>
  <si>
    <t>3.22.4.11</t>
  </si>
  <si>
    <t>Fornecimento e aplicação de cantoneiras metálicas (proteção contra impactos) aplicadas nas arestas vivas das paredes, em alumínio anodizado natural (A confirmar com amostra no local), bem como todos os materiais e trabalhos necessários, de acordo com o preconizado nas peças desenhadas e escritas de projeto. 
(zona Staff)</t>
  </si>
  <si>
    <t>3.22.5</t>
  </si>
  <si>
    <t>3.22.5.1</t>
  </si>
  <si>
    <t>Fornecimento e montagem de tecto falso em gesso cartonado standard, constituído por camada simples de placas tipo Knauf Standard Tipo A/12,5 mm aparafusadas a uma estrutura metálica em chapa galvanizada Z 140 de maestras 47/17/0,6 mm (com separação máxima de 500 mm), suspensa da laje mediante “pivot + varão roscado M6 zincado + bucha metálica M6” (ou outra), com separação máxima de 1000 mm ou  equivalente. Inclui aplicação de “banda acústica” entre os perfis L e as paredes perimetrais e de lã mineral. Tratamento de juntas. Pronta a pintar, incluíndo todos os trabalhos e fornecimentos necessários a um perfeito acabamento, de acordo com o preconizado nas peças desenhadas e escritas de projeto.</t>
  </si>
  <si>
    <t>3.22.5.2</t>
  </si>
  <si>
    <t>Fornecimento e execução de pintura com tinta aquosa acrílica, com aspecto liso mate, ref.ª 10-250 VINYLMATT, na cor branco RAL 9010 (Conforme projeto de Interior Design. A confirmar com amostra no local), sobre tectos, sancas e frisos, , incluindo primário adequado, bem como todos os materiais e trabalhos necessários, de acordo com o preconizado nas peças desenhadas e escritas de projeto.</t>
  </si>
  <si>
    <t>3.22.5.3</t>
  </si>
  <si>
    <t>Fornecimento e montagem de sanca de iluminação em gesso cartonado ,  constituído camada simples de placas tipo Knauf aparafusadas a uma estrutura metálica em chapa galvanizada do sistema. Pronta para receber iluminação em fita LED, conforme peças desenhadas de projeto. Tratamento de juntas com cinta de papel e aplicação do “Primário pintura”. Pronta a pintar incluíndo todos os trabalhos e fornecimentos necessários a um perfeito acabamento, de acordo com o preconizado nas peças desenhadas e escritas de projeto.  
(Nicho quartos)</t>
  </si>
  <si>
    <t>3.22.5.4</t>
  </si>
  <si>
    <t>3.22.5.5</t>
  </si>
  <si>
    <t>3.22.6</t>
  </si>
  <si>
    <t>3.22.6.1</t>
  </si>
  <si>
    <t>Fornecimento de colocação de vão de porta interior corta-fogo EI30, tipo TRIA, Série Plano, lacada à cor NCS S 2005-Y30R (Conforme projeto de Interior Design. A confirmar com amostra no local). Conforme requisitos definidos no projeto de especialidades, nomeadamente projeto de acustica e projeto de Segurança Contra Incêndios (SCI), nomeadamente resistência ao fogo e sistema de fecho automático. Maquinação da porta para fornecimento e montagem de fechadura Assa Abloy VingCard ESSENCE RFID BLE composta por um Conjunto de puxadores wing, leitor de proximidade e caixa de fechadura ANSI (confirmar com especialidades - fechadura e puxadores não incluídos), acabamento escovado preto,  borrachas e dobradiças pretas, certificado do produto, e tudo o demais necessário para o seu correto funcionamento. 
Todas as portas devem ser protegidas com cantoneiras metálicas em aço galvanizado, lacadas à cor NCS S 2005-Y30R (Conforme projeto de Interior Design. A confirmar com amostra no local), com 1,25 m de altura e abas mínimas de 5 cm (4 cantoneiras por porta). Com todos os trabalhos e materiais necessários para uma boa execução e de acordo com recomendações do fabricante e mapa de vãos, de acordo com o preconizado nas peças desenhadas e escritas de projeto. 
(Portas staff - serviço)</t>
  </si>
  <si>
    <t>3.22.7</t>
  </si>
  <si>
    <t>Carpintaria</t>
  </si>
  <si>
    <t>3.22.7.1</t>
  </si>
  <si>
    <t xml:space="preserve">Verificação e manutenção de armários técnicos existentes, incluindo inspeção das características construtivas da porta, aro e ferragens, com vista à confirmação do cumprimento dos requisitos definidos no projeto de Interior Design. Inclui reparações ou ajustes pontuais caso se revelem necessários, incluindo substituições pontuais de ferragens garantindo-se o correto funcionamento e alinhamento com as paredes quando fechados, bem como todos os trabalhos e acessórios necessários à sua perfeita readaptação e conservação. Inclui instalação de fechadura JNF com pequeno puxador, ambos em acabamento preto, permitindo o fecho à chave (Conforme projeto de Interior Design. A confirmar com amostra no local). Todas as fechaduras devem utilizar uma chave única para uniformização. Inclui preparação da superfície, correção de imperfeições e aplicação de primário para posterior aplicação de papel de parede  (Conforme projeto de Interior Design. A confirmar com amostra no local). Inclui todos os trabalhos necessários à sua perfeita execução, garantindo uniformidade, durabilidade e integração com as superfícies envolventes.
</t>
  </si>
  <si>
    <t>3.22.8</t>
  </si>
  <si>
    <t>3.22.8.1</t>
  </si>
  <si>
    <t>Sinalética com a numeração de quarto em Valchromat preto de 8 mm folhado a nogueira, com frente em alumínio de 1.5mm espessura, lacado ao RAL por definir, com número de quarto vazado e numeração em material transparente e braille (3 algarismos). Fixação através de cola biadesiva. Inclui todas as peças, fixações e remates necessários ao seu correto funcionamento.  (Conforme projeto de Interior Design. A confirmar com amostra no local)
(portas quartos)</t>
  </si>
  <si>
    <t>3.22.8.2</t>
  </si>
  <si>
    <t>Fornecimento e instalação de PVC Opaco Planta Emergência, com 297x420mm, de acordo com o projeto da especialidade. Inclui todas as peças, fixações e remates necessários ao seu correto funcionamento.</t>
  </si>
  <si>
    <t>3.22.8.3</t>
  </si>
  <si>
    <t>Fornecimento e instalação de Sinalética direcional, conforme projeto e interior design e projeto de sinalética direcional do cliente. Inclui todas as peças, fixações e remates necessários ao seu correto funcionamento.</t>
  </si>
  <si>
    <t>3.22.9</t>
  </si>
  <si>
    <t>3.22.9.1</t>
  </si>
  <si>
    <t>Tratamento de fissuras com aberturas entre 3mm e 10mm, em paredes, tetos e outros elementos construídos: preenchimento das fissuras com mistura de grout após avivamento das mesmas para garantir de que não existe exposição de armaduras. Limpeza mecânica por escovagem ou decapagem das armaduras expostas, incluindo o custo integral da remoção de material solto ou pouco aderente, a remoção de todos os produtos de corrosão que se apresentem soltos, o transporte, colocação e aplicação de todos os equipamentos e materiais necessários à execução dos trabalhos. Para posterior aplicação de acabamento conforme projeto de interior design.</t>
  </si>
  <si>
    <t>3.22.9.2</t>
  </si>
  <si>
    <t xml:space="preserve">Tratamento de juntas de dilatação, conforme as necessidades estruturais, com selagem da abertura, garantindo-se a adequada vedação contra infiltrações de água e sujidade. Inclui limpeza e preparação da junta com fundo de junta e primário, se necessário, para garantir a aderência e durabilidade da soução.  Inclui cantoneiras de aço, para proteção das arestas. com acabamento conforme projeto de Interior Design. (A confirmar com amostra no local), incluindo primário adequado, bem como todos os materiais e trabalhos necessários, de acordo com o preconizado nas peças desenhadas e escritas de projeto. </t>
  </si>
  <si>
    <t>3.22.10</t>
  </si>
  <si>
    <t>3.22.10.1</t>
  </si>
  <si>
    <t xml:space="preserve">Fornecimento e aplicação de calha de LED com difusor opalino. Fita LED 2700K, IP20. Inclui transformador e todos os trabalhos e acessórios necessários ao correto funcionamento do sistema, conforme projeto de Interior Design, projeto de Instalações elétricas e Operação..
(Nichos quartos)
</t>
  </si>
  <si>
    <t>TOTAL CORREDOR PISO 1</t>
  </si>
  <si>
    <t>CORREDOR - piso 2</t>
  </si>
  <si>
    <t>3.23.1</t>
  </si>
  <si>
    <t>3.23.1.1</t>
  </si>
  <si>
    <t>3.23.1.2</t>
  </si>
  <si>
    <t>3.23.1.3</t>
  </si>
  <si>
    <t>3.23.1.4</t>
  </si>
  <si>
    <t>3.23.1.5</t>
  </si>
  <si>
    <t>3.23.1.6</t>
  </si>
  <si>
    <t>3.23.2</t>
  </si>
  <si>
    <t>3.23.2.1</t>
  </si>
  <si>
    <t>3.23.2.2</t>
  </si>
  <si>
    <t>3.23.3</t>
  </si>
  <si>
    <t>3.23.3.1</t>
  </si>
  <si>
    <t>3.23.3.2</t>
  </si>
  <si>
    <t>Fornecimento e aplicação de carpete "Naban Carpets", refª Axminster 35 (altura = 10,8mm) sobre camada de underlay (dupla colagem ao pavimento), esp=6mm, assente em base regularizada e limpa. Mescla de cor composta por tufos ARS a definir (Conforme projeto de Interior Design. A confirmar com amostra no local).
(Corredor quartos)</t>
  </si>
  <si>
    <t>3.23.3.3</t>
  </si>
  <si>
    <t>Fornecimento e aplicação de Underlay ref. ME-227-C Cloud 9 Flame retardand 8, de acordo com o preconizado nas peças desenhadas e escritas de projeto, em base devidamente preparada e nivelada, incluindo todos os trabalhos necessários ao seu perfeito acabamento. 
(Corredor quartos)</t>
  </si>
  <si>
    <t>3.23.3.4</t>
  </si>
  <si>
    <t>3.23.3.5</t>
  </si>
  <si>
    <t>Vitrificação dos pavimentos e escada em pedra. Inclui limpeza profunda com secagem total da superfície e aplicação de tapa poros antes da cristalização. Conforme previsto em projeto de Interior Design, incluindo todos os trabalhos necessários à sua perfeita execução, de acordo com o preconizado nas peças desenhadas e escritas de projeto.
(Escadas e Hall dos elevadores)</t>
  </si>
  <si>
    <t>3.23.3.6</t>
  </si>
  <si>
    <t>3.23.4</t>
  </si>
  <si>
    <t>3.23.4.1</t>
  </si>
  <si>
    <t>3.23.4.2</t>
  </si>
  <si>
    <t>3.23.4.3</t>
  </si>
  <si>
    <t>3.23.4.4</t>
  </si>
  <si>
    <t>Limpeza e tratamento de paramentos em pedra. Inclui limpeza profunda com secagem total da superfície e aplicação de tapa poros antes da impermeabilização. Conforme previsto em projeto de Interior Design, incluindo todos os trabalhos necessários à sua perfeita execução, de acordo com o preconizado nas peças desenhadas e escritas de projeto.
(Escadas, Hall dos elevadores e corredor quartos)</t>
  </si>
  <si>
    <t>3.23.4.5</t>
  </si>
  <si>
    <t>3.23.4.6</t>
  </si>
  <si>
    <t>Fornecimento e aplicação de forra em MDF com classe de resistência ao fogo A1, com acabamento Naturdor Nogueira figurado mate poro aberto, com espessura conforme projeto de interior design, idêntico ao rodapé. Conforme previsto em projeto de Interior Design e desenho de preparação (A confirmar com amostra no local), incluindo todos os trabalhos necessários à sua perfeita execução, de acordo com o preconizado nas peças desenhadas e escritas de projeto.
(portas quartos - lateral esquerda 30cm + lateral direita 12cm + bandeira)</t>
  </si>
  <si>
    <t>3.23.4.7</t>
  </si>
  <si>
    <t>Fornecimento e aplicação de forra em MDF com classe de resistência ao fogo A1, com acabamento Naturdor Nogueira figurado mate poro aberto, com espessura conforme projeto de interior design, idêntico ao rodapé. Conforme previsto em projeto de Interior Design e desenho de preparação (A confirmar com amostra no local), incluindo todos os trabalhos necessários à sua perfeita execução, de acordo com o preconizado nas peças desenhadas e escritas de projeto.
(portas quartos em nicho - totalidade do nicho)</t>
  </si>
  <si>
    <t>3.23.4.8</t>
  </si>
  <si>
    <t>3.23.4.9</t>
  </si>
  <si>
    <t>3.23.5</t>
  </si>
  <si>
    <t>3.23.5.1</t>
  </si>
  <si>
    <t>3.23.5.2</t>
  </si>
  <si>
    <t>3.23.5.3</t>
  </si>
  <si>
    <t>Fornecimento e montagem de sanca de iluminação em gesso cartonado ,  constituído camada simples de placas tipo Knauf aparafusadas a uma estrutura metálica em chapa galvanizada do sistema. Pronta para receber iluminação em fita LED, conforme peças desenhadas de projeto. Tratamento de juntas com cinta de papel e aplicação do “Primário pintura”. Pronta a pintar incluíndo todos os trabalhos e fornecimentos necessários a um perfeito acabamento, de acordo com o preconizado nas peças desenhadas e escritas de projeto. 
(Nicho quartos)</t>
  </si>
  <si>
    <t>3.23.5.4</t>
  </si>
  <si>
    <t>3.23.5.5</t>
  </si>
  <si>
    <t>3.23.6</t>
  </si>
  <si>
    <t>3.23.6.1</t>
  </si>
  <si>
    <t>Verificação e manutenção de vão de porta interior existente, incluindo inspeção das características construtivas da porta, aro e ferragens, com vista à confirmação do cumprimento dos requisitos definidos no projeto de especialidades, nomeadamente projeto de acustica e projeto de Segurança Contra Incêndios (SCI), nomeadamente resistência ao fogo e sistema de fecho automático. Inclui reparações ou ajustes pontuais caso se revelem necessários incluindo substituições pontuais de ferragens, pintura com acabamento lacado à cor NCS S 2005-Y30R (Conforme projeto de Interior Design. A confirmar com amostra no local), bem como todos os trabalhos e acessórios necessários à sua perfeita readaptação e conservação.  Inclui preparação da superfície, correção de imperfeições, aplicação de primário e posterior lacagem com acabamento liso e resistente, adequado a zonas interiores de circulação. Inclui todos os trabalhos necessários à sua perfeita execução, garantindo uniformidade, durabilidade e integração com as superfícies envolventes.
(Portas emergência corredor)</t>
  </si>
  <si>
    <t>3.23.6.2</t>
  </si>
  <si>
    <t>Fornecimento de colocação de vão de porta interior corta-fogo EI30, tipo TRIA, Série Plano, lacada à cor NCS S 2005-Y30R (Conforme projeto de Interior Design. A confirmar com amostra no local). Conforme requisitos definidos no projeto de especialidades, nomeadamente projeto de acustica e projeto de Segurança Contra Incêndios (SCI), nomeadamente resistência ao fogo e sistema de fecho automático. Maquinação da porta para fornecimento e montagem de fechadura Assa Abloy VingCard ESSENCE RFID BLE composta por um Conjunto de puxadores wing, leitor de proximidade e caixa de fechadura ANSI (confirmar com especialidades - fechadura e puxadores não incluídos), acabamento escovado preto,  borrachas e dobradiças pretas, certificado do produto, e tudo o demais necessário para o seu correto funcionamento.
Todas as portas devem ser protegidas com cantoneiras metálicas em aço galvanizado, lacadas à cor NCS S 2005-Y30R (Conforme projeto de Interior Design. A confirmar com amostra no local), com 1,25 m de altura e abas mínimas de 5 cm (4 cantoneiras por porta). Com todos os trabalhos e materiais necessários para uma boa execução e de acordo com recomendações do fabricante e mapa de vãos, de acordo com o preconizado nas peças desenhadas e escritas de projeto.
(Portas staff - serviço)</t>
  </si>
  <si>
    <t>3.23.7</t>
  </si>
  <si>
    <t>3.23.7.1</t>
  </si>
  <si>
    <t>Verificação e manutenção de armários técnicos existentes, incluindo inspeção das características construtivas da porta, aro e ferragens, com vista à confirmação do cumprimento dos requisitos definidos no projeto de Interior Design. Inclui reparações ou ajustes pontuais caso se revelem necessários, incluindo substituições pontuais de ferragens garantindo-se o correto funcionamento e alinhamento com as paredes quando fechados, bem como todos os trabalhos e acessórios necessários à sua perfeita readaptação e conservação. Inclui instalação de fechadura JNF com pequeno puxador, ambos em acabamento preto, permitindo o fecho à chave (Conforme projeto de Interior Design. A confirmar com amostra no local). Todas as fechaduras devem utilizar uma chave única para uniformização. Inclui preparação da superfície, correção de imperfeições e aplicação de primário para posterior aplicação de papel de parede  (Conforme projeto de Interior Design. A confirmar com amostra no local). Inclui todos os trabalhos necessários à sua perfeita execução, garantindo uniformidade, durabilidade e integração com as superfícies envolventes.</t>
  </si>
  <si>
    <t>3.23.8</t>
  </si>
  <si>
    <t>3.23.8.1</t>
  </si>
  <si>
    <t>3.23.8.2</t>
  </si>
  <si>
    <t>3.23.8.3</t>
  </si>
  <si>
    <t>3.23.9</t>
  </si>
  <si>
    <t>3.23.9.1</t>
  </si>
  <si>
    <t>3.23.9.2</t>
  </si>
  <si>
    <t>3.23.10</t>
  </si>
  <si>
    <t>3.23.10.1</t>
  </si>
  <si>
    <t>Fornecimento e aplicação de calha de LED com difusor opalino. Fita LED 2700K, IP20. Inclui transformador e todos os trabalhos e acessórios necessários ao correto funcionamento do sistema, conforme projeto de Interior Design, projeto de Instalações elétricas e Operação..
(Nichos quartos)</t>
  </si>
  <si>
    <t>TOTAL CORREDOR PISO 2</t>
  </si>
  <si>
    <t>CORREDOR - piso 3</t>
  </si>
  <si>
    <t>3.24.1</t>
  </si>
  <si>
    <t>3.24.1.1</t>
  </si>
  <si>
    <t>3.24.1.2</t>
  </si>
  <si>
    <t>3.24.1.3</t>
  </si>
  <si>
    <t>3.24.1.4</t>
  </si>
  <si>
    <t>3.24.1.5</t>
  </si>
  <si>
    <t>3.24.1.6</t>
  </si>
  <si>
    <t>3.24.2</t>
  </si>
  <si>
    <t>3.24.2.1</t>
  </si>
  <si>
    <t>3.24.2.2</t>
  </si>
  <si>
    <t>3.24.3</t>
  </si>
  <si>
    <t>3.24.3.1</t>
  </si>
  <si>
    <t>3.24.3.2</t>
  </si>
  <si>
    <t>3.24.3.3</t>
  </si>
  <si>
    <t>3.24.3.4</t>
  </si>
  <si>
    <t>3.24.3.5</t>
  </si>
  <si>
    <t>3.24.3.6</t>
  </si>
  <si>
    <t>3.24.4</t>
  </si>
  <si>
    <t>3.24.4.1</t>
  </si>
  <si>
    <t>3.24.4.2</t>
  </si>
  <si>
    <t>3.24.4.3</t>
  </si>
  <si>
    <t>3.24.4.4</t>
  </si>
  <si>
    <t>3.24.4.5</t>
  </si>
  <si>
    <t>3.24.4.6</t>
  </si>
  <si>
    <t>3.24.4.7</t>
  </si>
  <si>
    <t>3.24.4.8</t>
  </si>
  <si>
    <t>3.24.4.9</t>
  </si>
  <si>
    <t>3.24.5</t>
  </si>
  <si>
    <t>3.24.5.1</t>
  </si>
  <si>
    <t>3.24.5.2</t>
  </si>
  <si>
    <t>3.24.5.3</t>
  </si>
  <si>
    <t>3.24.5.4</t>
  </si>
  <si>
    <t>3.24.5.5</t>
  </si>
  <si>
    <t>3.24.6</t>
  </si>
  <si>
    <t>3.24.6.1</t>
  </si>
  <si>
    <t>3.24.6.2</t>
  </si>
  <si>
    <t>3.24.7</t>
  </si>
  <si>
    <t>3.24.7.1</t>
  </si>
  <si>
    <t>3.24.8</t>
  </si>
  <si>
    <t>3.24.8.1</t>
  </si>
  <si>
    <t>3.24.8.2</t>
  </si>
  <si>
    <t>5,00</t>
  </si>
  <si>
    <t>3.24.8.3</t>
  </si>
  <si>
    <t>3.24.9</t>
  </si>
  <si>
    <t>3.24.9.1</t>
  </si>
  <si>
    <t>3.24.9.2</t>
  </si>
  <si>
    <t>3.24.10</t>
  </si>
  <si>
    <t>3.24.10.1</t>
  </si>
  <si>
    <t>TOTAL CORREDOR PISO 3</t>
  </si>
  <si>
    <t>CORREDOR - piso 4</t>
  </si>
  <si>
    <t>3.25.1</t>
  </si>
  <si>
    <t>3.25.1.1</t>
  </si>
  <si>
    <t>3.25.1.2</t>
  </si>
  <si>
    <t>3.25.1.3</t>
  </si>
  <si>
    <t>3.25.1.4</t>
  </si>
  <si>
    <t>3.25.1.5</t>
  </si>
  <si>
    <t>3.25.1.6</t>
  </si>
  <si>
    <t>3.25.2</t>
  </si>
  <si>
    <t>3.25.2.1</t>
  </si>
  <si>
    <t>3.25.2.2</t>
  </si>
  <si>
    <t>3.25.3</t>
  </si>
  <si>
    <t>3.25.3.1</t>
  </si>
  <si>
    <t>3.25.3.2</t>
  </si>
  <si>
    <t>3.25.3.3</t>
  </si>
  <si>
    <t>3.25.3.4</t>
  </si>
  <si>
    <t>3.25.3.5</t>
  </si>
  <si>
    <t>3.25.3.6</t>
  </si>
  <si>
    <t>3.25.4</t>
  </si>
  <si>
    <t>3.25.4.1</t>
  </si>
  <si>
    <t>3.25.4.2</t>
  </si>
  <si>
    <t>3.25.4.3</t>
  </si>
  <si>
    <t>3.25.4.4</t>
  </si>
  <si>
    <t>3.25.4.5</t>
  </si>
  <si>
    <t>3.25.4.6</t>
  </si>
  <si>
    <t>3.25.4.7</t>
  </si>
  <si>
    <t>3.25.4.8</t>
  </si>
  <si>
    <t>3.25.4.9</t>
  </si>
  <si>
    <t>3.25.5</t>
  </si>
  <si>
    <t>3.25.5.1</t>
  </si>
  <si>
    <t>3.25.5.2</t>
  </si>
  <si>
    <t>3.25.5.3</t>
  </si>
  <si>
    <t>3.25.5.4</t>
  </si>
  <si>
    <t>3.25.5.5</t>
  </si>
  <si>
    <t>3.25.6</t>
  </si>
  <si>
    <t>3.25.6.1</t>
  </si>
  <si>
    <t>3.25.6.2</t>
  </si>
  <si>
    <t>3.25.7</t>
  </si>
  <si>
    <t>3.25.7.1</t>
  </si>
  <si>
    <t>3.25.8</t>
  </si>
  <si>
    <t>3.25.8.1</t>
  </si>
  <si>
    <t>3.25.8.2</t>
  </si>
  <si>
    <t>3.25.8.3</t>
  </si>
  <si>
    <t>3.25.9</t>
  </si>
  <si>
    <t>3.25.9.1</t>
  </si>
  <si>
    <t>3.25.9.2</t>
  </si>
  <si>
    <t>3.25.10</t>
  </si>
  <si>
    <t>3.25.10.1</t>
  </si>
  <si>
    <t>TOTAL CORREDOR PISO 4</t>
  </si>
  <si>
    <t>CORREDOR - piso 5</t>
  </si>
  <si>
    <t>3.26.1</t>
  </si>
  <si>
    <t>3.26.1.1</t>
  </si>
  <si>
    <t>3.26.1.2</t>
  </si>
  <si>
    <t>3.26.1.3</t>
  </si>
  <si>
    <t>3.26.1.4</t>
  </si>
  <si>
    <t>3.26.1.5</t>
  </si>
  <si>
    <t>3.26.1.6</t>
  </si>
  <si>
    <t>3.26.2</t>
  </si>
  <si>
    <t>3.26.2.1</t>
  </si>
  <si>
    <t>3.26.2.2</t>
  </si>
  <si>
    <t>3.26.3</t>
  </si>
  <si>
    <t>3.26.3.1</t>
  </si>
  <si>
    <t>3.26.3.2</t>
  </si>
  <si>
    <t>3.26.3.3</t>
  </si>
  <si>
    <t>3.26.3.4</t>
  </si>
  <si>
    <t>3.26.3.5</t>
  </si>
  <si>
    <t>3.26.3.6</t>
  </si>
  <si>
    <t>3.26.4</t>
  </si>
  <si>
    <t>3.26.4.1</t>
  </si>
  <si>
    <t>3.26.4.2</t>
  </si>
  <si>
    <t>3.26.4.3</t>
  </si>
  <si>
    <t>3.26.4.4</t>
  </si>
  <si>
    <t>3.26.4.5</t>
  </si>
  <si>
    <t>3.26.4.6</t>
  </si>
  <si>
    <t>3.26.4.7</t>
  </si>
  <si>
    <t>3.26.4.8</t>
  </si>
  <si>
    <t>3.26.4.9</t>
  </si>
  <si>
    <t>3.26.5</t>
  </si>
  <si>
    <t>3.26.5.1</t>
  </si>
  <si>
    <t>3.26.5.2</t>
  </si>
  <si>
    <t>3.26.5.3</t>
  </si>
  <si>
    <t>3.26.5.4</t>
  </si>
  <si>
    <t>3.26.5.5</t>
  </si>
  <si>
    <t>3.26.6</t>
  </si>
  <si>
    <t>3.26.6.1</t>
  </si>
  <si>
    <t>3.26.6.2</t>
  </si>
  <si>
    <t>3.26.7</t>
  </si>
  <si>
    <t>3.26.7.1</t>
  </si>
  <si>
    <t>3.26.8</t>
  </si>
  <si>
    <t>3.26.8.1</t>
  </si>
  <si>
    <t>3.26.8.2</t>
  </si>
  <si>
    <t>3.26.8.3</t>
  </si>
  <si>
    <t>3.26.9</t>
  </si>
  <si>
    <t>3.26.9.1</t>
  </si>
  <si>
    <t>3.26.9.2</t>
  </si>
  <si>
    <t>3.26.10</t>
  </si>
  <si>
    <t>3.26.10.1</t>
  </si>
  <si>
    <t>TOTAL CORREDOR PISO 5</t>
  </si>
  <si>
    <t>CORREDOR - piso 6</t>
  </si>
  <si>
    <t>3.27.1</t>
  </si>
  <si>
    <t>3.27.1.1</t>
  </si>
  <si>
    <t>3.27.1.2</t>
  </si>
  <si>
    <t>3.27.1.3</t>
  </si>
  <si>
    <t>3.27.1.4</t>
  </si>
  <si>
    <t>3.27.1.5</t>
  </si>
  <si>
    <t>3.27.1.6</t>
  </si>
  <si>
    <t>3.27.2</t>
  </si>
  <si>
    <t>3.27.2.1</t>
  </si>
  <si>
    <t>3.27.2.2</t>
  </si>
  <si>
    <t>3.27.3</t>
  </si>
  <si>
    <t>3.27.3.1</t>
  </si>
  <si>
    <t>3.27.3.2</t>
  </si>
  <si>
    <t>3.27.3.3</t>
  </si>
  <si>
    <t>3.27.3.4</t>
  </si>
  <si>
    <t>3.27.3.5</t>
  </si>
  <si>
    <t>3.27.3.6</t>
  </si>
  <si>
    <t>3.27.4</t>
  </si>
  <si>
    <t>3.27.4.1</t>
  </si>
  <si>
    <t>3.27.4.2</t>
  </si>
  <si>
    <t>3.27.4.3</t>
  </si>
  <si>
    <t>3.27.4.4</t>
  </si>
  <si>
    <t>3.27.4.5</t>
  </si>
  <si>
    <t>3.27.4.6</t>
  </si>
  <si>
    <t>3.27.4.7</t>
  </si>
  <si>
    <t>3.27.4.8</t>
  </si>
  <si>
    <t>3.27.4.9</t>
  </si>
  <si>
    <t>3.27.4.10</t>
  </si>
  <si>
    <t>3.27.5</t>
  </si>
  <si>
    <t>3.27.5.1</t>
  </si>
  <si>
    <t>3.27.5.2</t>
  </si>
  <si>
    <t>3.27.5.3</t>
  </si>
  <si>
    <t>3.27.5.4</t>
  </si>
  <si>
    <t>3.27.5.5</t>
  </si>
  <si>
    <t>3.27.6</t>
  </si>
  <si>
    <t>3.27.6.1</t>
  </si>
  <si>
    <t>3.27.6.2</t>
  </si>
  <si>
    <t>3.27.7</t>
  </si>
  <si>
    <t>3.27.7.1</t>
  </si>
  <si>
    <t>3.27.8</t>
  </si>
  <si>
    <t>3.27.8.1</t>
  </si>
  <si>
    <t>3.27.8.2</t>
  </si>
  <si>
    <t>3.27.8.3</t>
  </si>
  <si>
    <t>3.27.9</t>
  </si>
  <si>
    <t>3.27.9.1</t>
  </si>
  <si>
    <t>3.27.9.2</t>
  </si>
  <si>
    <t>3.27.10</t>
  </si>
  <si>
    <t>3.27.10.1</t>
  </si>
  <si>
    <t>TOTAL CORREDOR PISO 6</t>
  </si>
  <si>
    <t>CORREDOR - piso 7</t>
  </si>
  <si>
    <t>3.28.1</t>
  </si>
  <si>
    <t>3.28.1.1</t>
  </si>
  <si>
    <t>3.28.1.2</t>
  </si>
  <si>
    <t>3.28.1.3</t>
  </si>
  <si>
    <t>3.28.1.4</t>
  </si>
  <si>
    <t>3.28.1.5</t>
  </si>
  <si>
    <t>3.28.1.6</t>
  </si>
  <si>
    <t>3.28.2</t>
  </si>
  <si>
    <t>3.28.2.1</t>
  </si>
  <si>
    <t>3.28.2.2</t>
  </si>
  <si>
    <t>3.28.3</t>
  </si>
  <si>
    <t>3.28.3.1</t>
  </si>
  <si>
    <t>3.28.3.2</t>
  </si>
  <si>
    <t>3.28.3.3</t>
  </si>
  <si>
    <t>3.28.3.4</t>
  </si>
  <si>
    <t>3.28.3.5</t>
  </si>
  <si>
    <t>3.28.3.6</t>
  </si>
  <si>
    <t>3.28.4</t>
  </si>
  <si>
    <t>3.28.4.1</t>
  </si>
  <si>
    <t>3.28.4.2</t>
  </si>
  <si>
    <t>3.28.4.3</t>
  </si>
  <si>
    <t>3.28.4.4</t>
  </si>
  <si>
    <t>3.28.4.5</t>
  </si>
  <si>
    <t>3.28.4.6</t>
  </si>
  <si>
    <t>3.28.4.7</t>
  </si>
  <si>
    <t>3.28.4.8</t>
  </si>
  <si>
    <t>3.28.4.9</t>
  </si>
  <si>
    <t>3.28.4.10</t>
  </si>
  <si>
    <t>3.28.5</t>
  </si>
  <si>
    <t>3.28.5.1</t>
  </si>
  <si>
    <t>3.28.5.2</t>
  </si>
  <si>
    <t>3.28.5.3</t>
  </si>
  <si>
    <t>3.28.5.4</t>
  </si>
  <si>
    <t>3.28.5.5</t>
  </si>
  <si>
    <t>3.28.6</t>
  </si>
  <si>
    <t>3.28.6.1</t>
  </si>
  <si>
    <t>3.28.6.2</t>
  </si>
  <si>
    <t>3.28.7</t>
  </si>
  <si>
    <t>3.28.7.1</t>
  </si>
  <si>
    <t>3.28.8</t>
  </si>
  <si>
    <t>3.28.8.1</t>
  </si>
  <si>
    <t>3.28.8.2</t>
  </si>
  <si>
    <t>3.28.8.3</t>
  </si>
  <si>
    <t>3.28.9</t>
  </si>
  <si>
    <t>3.28.9.1</t>
  </si>
  <si>
    <t>3.28.9.2</t>
  </si>
  <si>
    <t>3.28.10</t>
  </si>
  <si>
    <t>3.28.10.1</t>
  </si>
  <si>
    <t>TOTAL CORREDOR PISO 7</t>
  </si>
  <si>
    <t>CORREDOR - piso 8</t>
  </si>
  <si>
    <t>3.29.1</t>
  </si>
  <si>
    <t>3.29.1.1</t>
  </si>
  <si>
    <t>3.29.1.2</t>
  </si>
  <si>
    <t>3.29.1.3</t>
  </si>
  <si>
    <t>3.29.1.4</t>
  </si>
  <si>
    <t>3.29.1.5</t>
  </si>
  <si>
    <t>3.29.1.6</t>
  </si>
  <si>
    <t>3.29.2</t>
  </si>
  <si>
    <t>3.29.2.1</t>
  </si>
  <si>
    <t>3.29.2.2</t>
  </si>
  <si>
    <t>3.29.3</t>
  </si>
  <si>
    <t>3.29.3.1</t>
  </si>
  <si>
    <t>3.29.3.2</t>
  </si>
  <si>
    <t>3.29.3.3</t>
  </si>
  <si>
    <t>3.29.3.4</t>
  </si>
  <si>
    <t>3.29.3.5</t>
  </si>
  <si>
    <t>3.29.4</t>
  </si>
  <si>
    <t>3.29.4.1</t>
  </si>
  <si>
    <t>3.29.4.2</t>
  </si>
  <si>
    <t>3.29.4.3</t>
  </si>
  <si>
    <t>3.29.4.4</t>
  </si>
  <si>
    <t>3.29.4.5</t>
  </si>
  <si>
    <t>3.29.4.6</t>
  </si>
  <si>
    <t>3.29.4.7</t>
  </si>
  <si>
    <t>3.29.4.8</t>
  </si>
  <si>
    <t>3.29.4.9</t>
  </si>
  <si>
    <t>3.29.4.10</t>
  </si>
  <si>
    <t>3.29.5</t>
  </si>
  <si>
    <t>3.29.5.1</t>
  </si>
  <si>
    <t>3.29.5.2</t>
  </si>
  <si>
    <t>3.29.5.3</t>
  </si>
  <si>
    <t>3.29.5.4</t>
  </si>
  <si>
    <t>3.29.5.5</t>
  </si>
  <si>
    <t>3.29.6</t>
  </si>
  <si>
    <t>3.29.6.1</t>
  </si>
  <si>
    <t>3.29.6.2</t>
  </si>
  <si>
    <t>3.29.7</t>
  </si>
  <si>
    <t>3.29.7.1</t>
  </si>
  <si>
    <t>3.29.8</t>
  </si>
  <si>
    <t>3.29.8.1</t>
  </si>
  <si>
    <t>3.29.8.2</t>
  </si>
  <si>
    <t>3.29.8.3</t>
  </si>
  <si>
    <t>3.29.9</t>
  </si>
  <si>
    <t>3.29.9.1</t>
  </si>
  <si>
    <t>3.29.9.2</t>
  </si>
  <si>
    <t>3.29.10</t>
  </si>
  <si>
    <t>3.29.10.1</t>
  </si>
  <si>
    <t>TOTAL CORREDOR PISO 8</t>
  </si>
  <si>
    <t>CORREDOR - piso 9</t>
  </si>
  <si>
    <t>3.30.1</t>
  </si>
  <si>
    <t>3.30.1.1</t>
  </si>
  <si>
    <t>3.30.1.2</t>
  </si>
  <si>
    <t>3.30.1.3</t>
  </si>
  <si>
    <t>3.30.1.4</t>
  </si>
  <si>
    <t>3.30.1.5</t>
  </si>
  <si>
    <t>3.30.1.6</t>
  </si>
  <si>
    <t>3.30.2</t>
  </si>
  <si>
    <t>3.30.2.1</t>
  </si>
  <si>
    <t>3.30.2.2</t>
  </si>
  <si>
    <t>3.30.3</t>
  </si>
  <si>
    <t>3.30.3.1</t>
  </si>
  <si>
    <t>3.30.3.2</t>
  </si>
  <si>
    <t>3.30.3.3</t>
  </si>
  <si>
    <t>3.30.3.4</t>
  </si>
  <si>
    <t>3.30.3.5</t>
  </si>
  <si>
    <t>3.30.4</t>
  </si>
  <si>
    <t>3.30.4.1</t>
  </si>
  <si>
    <t>3.30.4.2</t>
  </si>
  <si>
    <t>3.30.4.3</t>
  </si>
  <si>
    <t>3.30.4.4</t>
  </si>
  <si>
    <t>3.30.4.5</t>
  </si>
  <si>
    <t>3.30.4.7</t>
  </si>
  <si>
    <t>3.30.4.8</t>
  </si>
  <si>
    <t>3.30.5</t>
  </si>
  <si>
    <t>3.30.5.1</t>
  </si>
  <si>
    <t>3.30.5.2</t>
  </si>
  <si>
    <t>3.30.5.3</t>
  </si>
  <si>
    <t>3.30.6</t>
  </si>
  <si>
    <t>3.30.6.1</t>
  </si>
  <si>
    <t>3.30.6.2</t>
  </si>
  <si>
    <t>3.30.7</t>
  </si>
  <si>
    <t>3.30.7.1</t>
  </si>
  <si>
    <t>3.30.8</t>
  </si>
  <si>
    <t>3.30.8.1</t>
  </si>
  <si>
    <t>3.30.8.2</t>
  </si>
  <si>
    <t>3.30.8.3</t>
  </si>
  <si>
    <t>3.30.9</t>
  </si>
  <si>
    <t>DIVERSOS</t>
  </si>
  <si>
    <t>3.30.9.1</t>
  </si>
  <si>
    <t>3.30.9.2</t>
  </si>
  <si>
    <t>TOTAL CORREDOR PISO 9</t>
  </si>
  <si>
    <t>As células sombreadas amarelo representam os descritivos que poderão sofrer alterações. Estes parâmetros devem ser revistos juntamente com os projetos de execução de cada engenharia (descritivo e/ou quantidade). Os valores apresentados já se encontram com a actualização dos 30%.  - APLICÁVEL EM TODO O DOCUMENTO</t>
  </si>
  <si>
    <t>Este documento deverá analisado em conjunto com o projeto de interior design e restantes peças escritas e desenhadas disponibilizadas</t>
  </si>
  <si>
    <t>MOBILIÁRIO</t>
  </si>
  <si>
    <t>Mobiliário</t>
  </si>
  <si>
    <t>quarto tipo B</t>
  </si>
  <si>
    <t>quarto tipo D</t>
  </si>
  <si>
    <t>quarto tipo E</t>
  </si>
  <si>
    <t>quarto tipo F</t>
  </si>
  <si>
    <t>quarto tipo J</t>
  </si>
  <si>
    <t>quarto tipo K</t>
  </si>
  <si>
    <t>quarto tipo L</t>
  </si>
  <si>
    <t>quarto tipo M</t>
  </si>
  <si>
    <t>quarto tipo N</t>
  </si>
  <si>
    <t>1.1.2</t>
  </si>
  <si>
    <t>quarto tipo A</t>
  </si>
  <si>
    <t>quarto tipo C</t>
  </si>
  <si>
    <t>quarto tipo G</t>
  </si>
  <si>
    <t>quarto tipo H</t>
  </si>
  <si>
    <t>quarto tipo I</t>
  </si>
  <si>
    <t>quarto tipo O</t>
  </si>
  <si>
    <t>1.1.3</t>
  </si>
  <si>
    <t>quarto twin - tipo T1</t>
  </si>
  <si>
    <t>quarto twin - tipo T2</t>
  </si>
  <si>
    <t>quarto twin - tipo T3</t>
  </si>
  <si>
    <t>1.1.4</t>
  </si>
  <si>
    <t>quarto twin - tipo T4</t>
  </si>
  <si>
    <t>quarto twin - tipo T5</t>
  </si>
  <si>
    <t>1.1.5</t>
  </si>
  <si>
    <t>1.1.6</t>
  </si>
  <si>
    <t>1.1.7</t>
  </si>
  <si>
    <t>quarto tipo L (2 unidades)</t>
  </si>
  <si>
    <t>1.1.8</t>
  </si>
  <si>
    <t>1.1.9</t>
  </si>
  <si>
    <t>1.1.10</t>
  </si>
  <si>
    <t>1.1.11</t>
  </si>
  <si>
    <t>1.1.12</t>
  </si>
  <si>
    <t>1.1.13</t>
  </si>
  <si>
    <t>1.1.14</t>
  </si>
  <si>
    <t>1.1.15</t>
  </si>
  <si>
    <t>quarto tipo A (em alguns casos)</t>
  </si>
  <si>
    <t>1.1.16</t>
  </si>
  <si>
    <t>1.1.17</t>
  </si>
  <si>
    <t>1.1.18</t>
  </si>
  <si>
    <t>1.1.19</t>
  </si>
  <si>
    <t>1.1.20</t>
  </si>
  <si>
    <t>1.1.21</t>
  </si>
  <si>
    <t>1.1.22</t>
  </si>
  <si>
    <t>1.1.23</t>
  </si>
  <si>
    <t>1.1.24</t>
  </si>
  <si>
    <t>1.1.25</t>
  </si>
  <si>
    <t>1.1.26</t>
  </si>
  <si>
    <t>1.1.27</t>
  </si>
  <si>
    <t>1.1.28</t>
  </si>
  <si>
    <t>1.1.29</t>
  </si>
  <si>
    <t>1.1.30</t>
  </si>
  <si>
    <t>1.1.31</t>
  </si>
  <si>
    <t>1.1.32</t>
  </si>
  <si>
    <t>1.1.33</t>
  </si>
  <si>
    <t>1.1.34</t>
  </si>
  <si>
    <t>1.1.35</t>
  </si>
  <si>
    <t>1.1.36</t>
  </si>
  <si>
    <t>1.1.37</t>
  </si>
  <si>
    <t>1.1.38</t>
  </si>
  <si>
    <t>1.1.39</t>
  </si>
  <si>
    <t>1.1.40</t>
  </si>
  <si>
    <t>1.1.41</t>
  </si>
  <si>
    <t>1.1.42</t>
  </si>
  <si>
    <t>1.1.43</t>
  </si>
  <si>
    <t>1.1.44</t>
  </si>
  <si>
    <t>1.1.45</t>
  </si>
  <si>
    <t>1.1.46</t>
  </si>
  <si>
    <t>1.1.47</t>
  </si>
  <si>
    <t>1.1.48</t>
  </si>
  <si>
    <t>quarto tipo D (2 unidades)</t>
  </si>
  <si>
    <t>1.1.49</t>
  </si>
  <si>
    <t>quarto tipo J (2 unidades)</t>
  </si>
  <si>
    <t>quarto tipo N (2 unidades)</t>
  </si>
  <si>
    <t>quarto tipo O (2 unidades)</t>
  </si>
  <si>
    <t>1.1.50</t>
  </si>
  <si>
    <t>1.1.51</t>
  </si>
  <si>
    <t>1.1.52</t>
  </si>
  <si>
    <t>1.1.53</t>
  </si>
  <si>
    <t xml:space="preserve">quarto tipo A  (em alguns casos) </t>
  </si>
  <si>
    <t>quarto tipo C (em alguns casos)</t>
  </si>
  <si>
    <t>quarto tipo K (2 unidades)</t>
  </si>
  <si>
    <t>quarto twin - tipo T1 (em alguns casos)</t>
  </si>
  <si>
    <t>quarto twin - tipo T2 (em alguns casos)</t>
  </si>
  <si>
    <t>quarto twin - tipo T3 (em alguns casos)</t>
  </si>
  <si>
    <t>1.1.54</t>
  </si>
  <si>
    <t>1.1.55</t>
  </si>
  <si>
    <t>1.1.56</t>
  </si>
  <si>
    <t>1.1.57</t>
  </si>
  <si>
    <t>1.1.58</t>
  </si>
  <si>
    <t>1.1.61</t>
  </si>
  <si>
    <t>Varanda - Tipo 2</t>
  </si>
  <si>
    <t>Varanda - Tipo 3</t>
  </si>
  <si>
    <t>1.1.59</t>
  </si>
  <si>
    <t>Varanda - Tipo 1</t>
  </si>
  <si>
    <t>Varanda - Tipo 4</t>
  </si>
  <si>
    <t>1.1.62</t>
  </si>
  <si>
    <t>1.1.65</t>
  </si>
  <si>
    <t>1.1.60</t>
  </si>
  <si>
    <t>1.1.63</t>
  </si>
  <si>
    <t>1.1.64</t>
  </si>
  <si>
    <t>1.1.66</t>
  </si>
  <si>
    <t>Nota 6</t>
  </si>
  <si>
    <t>Todas as superfícies devem ter tratamento hidrófugo, anti gorduras e anti nódoas, para utilização frequente</t>
  </si>
  <si>
    <t>Nota 7</t>
  </si>
  <si>
    <t>A estrutura e estabilidade das peças tem de ser garantida pelo fabricante</t>
  </si>
  <si>
    <t>Nota 8</t>
  </si>
  <si>
    <t>Os tecidos devem ter tratamento anti-nódoas, impermeabilização e tratamento FR, para utilização frequente</t>
  </si>
  <si>
    <t>Nota 9</t>
  </si>
  <si>
    <t>Todo o mobiliário previsto para exterior deve garantir acabamento adequado para intempéries e utilização</t>
  </si>
  <si>
    <r>
      <t xml:space="preserve">Fornecimento de mobiliário a colocar nos pisos 1 a 8, em quartos e varandas, segundo projeto de interior design, incluindo todos os trabalhos necessários ao seu perfeito acabamento.
</t>
    </r>
    <r>
      <rPr>
        <b/>
        <sz val="10"/>
        <color rgb="FF000000"/>
        <rFont val="Calibri"/>
        <family val="2"/>
      </rPr>
      <t>Nota:</t>
    </r>
    <r>
      <rPr>
        <sz val="10"/>
        <color rgb="FF000000"/>
        <rFont val="Calibri"/>
        <family val="2"/>
      </rPr>
      <t xml:space="preserve"> Todas as quantidades deverão ser verificadas de acordo com as peças desenhadas do projeto de design de interiores, em conjunto com o mapa de mobiliário do mesmo projeto.</t>
    </r>
  </si>
  <si>
    <t>quarto tipo K (3 unidades)</t>
  </si>
  <si>
    <t xml:space="preserve">quarto tipo L </t>
  </si>
  <si>
    <t>quarto tipo M (em alguns casos)</t>
  </si>
  <si>
    <t>1.1.67</t>
  </si>
  <si>
    <t>1.1.68</t>
  </si>
  <si>
    <t>Hall tipo 1</t>
  </si>
  <si>
    <t>Hall tipo 2A</t>
  </si>
  <si>
    <t>Hall tipo 2B</t>
  </si>
  <si>
    <t>1.1.69</t>
  </si>
  <si>
    <t>1.1.70</t>
  </si>
  <si>
    <t>1.1.71</t>
  </si>
  <si>
    <t>1.1.72</t>
  </si>
  <si>
    <t>1.1.73</t>
  </si>
  <si>
    <t>1.1.74</t>
  </si>
  <si>
    <t>1.1.75</t>
  </si>
  <si>
    <t>1.1.76</t>
  </si>
  <si>
    <t>Cabeceira de cama estofada no tecido Panaz – Coco – 111 Peacock, incluindo fita LED 2700K em todo o perímetro da cabeceira da cama. Dimensões de 280 x 107 cm, conforme desenho 36491I C22 001 e demais informações constantes do mapa de mobiliário. A aprovar mediante amostra. (D01-A)</t>
  </si>
  <si>
    <t>Cabeceira de cama twin estofada no tecido Panaz – Shelby – 229 Forest, incluindo fita LED 2700K em todo o perímetro da cabeceira da cama. Dimensões de 280 x 107 cm, conforme desenho 36491I C22 001 e demais informações constantes do mapa de mobiliário. A aprovar mediante amostra. (D01-V)</t>
  </si>
  <si>
    <t>Cabeceira de cama twin estofada no tecido Panaz – Coco – 111 Peacock, incluindo fita LED 2700K em todo o perímetro da cabeceira da cama. Dimensões de 354 x 107 cm, conforme desenho 36491I C22 001 e demais informações constantes do mapa de mobiliário. A aprovar mediante amostra. (D02-A)</t>
  </si>
  <si>
    <t>Cabeceira de cama twin estofada no tecido Panaz – Shelby – 229 Forest, incluindo fita LED 2700K em todo o perímetro da cabeceira da cama. Dimensões de 354 x 107 cm, conforme desenho 36491I C22 001 e demais informações constantes do mapa de mobiliário. A aprovar mediante amostra. (D02-V)</t>
  </si>
  <si>
    <t>Candeeiro de leitura em aluminio e latão lacado preto RAL9005 texturado fino c/movimento stop 360+90º. Sistema de acionamento por interruptor individual da Marset, Ref.ª Ledtube Mini. Dimensões de L 4,5 x P 7 x A 11,3 cm, a serem validados em desenhos de preparação, e demais informações constantes do mapa de mobiliário. A aprovar mediante amostra. (2 por quarto) (D04)</t>
  </si>
  <si>
    <t>Candeeiro de cabeceira alto em aço texturizado, lacado preto RAl 9005, tubo redondo diam 12.5mm com 1300mm mais dois braços fixados à parede com base 80mm H20mm, com bola transparente canelada, com 100mm de diametro, para lampada G9 led 2700K, a serem validados em desenhos de preparação, e demais informações constantes do mapa de mobiliário. A aprovar mediante amostra.(D05)</t>
  </si>
  <si>
    <t>Candeeiro de cabeceira em aço texturizado, lacado preto RAl 9005, tubo redondo diam 12.5mm com 25mm e base 80mm H20mm, com bola transparente canelada, com 100mm de diametro, para lampada G9 led 2700K,  a serem validados em desenhos de preparação, e demais informações constantes do mapa de mobiliário. A aprovar mediante amostra. (D06)</t>
  </si>
  <si>
    <t>Sommier estofado tecido Panaz – Coco – 111 Peacock, com pés em PVC na cor preto incluindo rodízios parciais. Dimensões de 1.80 x 2.00 m, a serem validados em desenhos de preparação, e demais informações constantes do mapa de mobiliário. A aprovar mediante amostra. (D07-A)</t>
  </si>
  <si>
    <t>Sommier estofado tecido Panaz – Shelby – 229 Forest, com pés em PVC na cor preto incluindo rodízios parciais. Dimensões de 1.80 x 2.00 m, a serem validados em desenhos de preparação, e demais informações constantes do mapa de mobiliário.A aprovar mediante amostra. (D07-V)</t>
  </si>
  <si>
    <t>Sommier twin estofado tecido Panaz – Coco – 111 Peacock, com pés em PVC na cor preto incluindo rodízios parciais. Dimensões de 1.20 x 2.00 m, a serem validados em desenhos de preparação, e demais informações constantes do mapa de mobiliário. A aprovar mediante amostra. (2 por quarto) (D08-A)</t>
  </si>
  <si>
    <t>Sommier twin estofado tecido Panaz – Shelby – 229 Forest, com pés em PVC na cor preto incluindo rodízios parciais. Dimensões de 1.20 x 2.00 m, a serem validados em desenhos de preparação, e demais informações constantes do mapa de mobiliário. A aprovar mediante amostra. (2 por quarto) (D08-V)</t>
  </si>
  <si>
    <t>Mesa de cabeceira com base em ferro lacado no RAL9010 texturado fino, com tampo em mármore Volakas com acabamento polído. Inclui película de proteção anti nódoas Impersol Pf100R na pedra e base de feltro no pé para proteção do pavimento. Dimensões Ø 40 x A 60 cm, a serem validados em desenhos de preparação, e demais informações constantes do mapa de mobiliário. A aprovar mediante amostra.(2 por quarto) (D10)</t>
  </si>
  <si>
    <t>Estante em MDF ignífugo lacado à cor NCS S 2010-B. Com detalhes estofado alchochoado com tecido Burel, da marca Burel Factory, à cor NCS S 2010-B com tratamento FR. Dimensões de 292x153 cm, conforme desenho 36491I C22 002 e demais informações constantes do mapa de mobiliário. A aprovar mediante amostra. (D11-A)</t>
  </si>
  <si>
    <t>Estante em MDF ignífugo lacado à cor NCS S 2010-G30Y. Com detalhes estofado alchochoado com tecido Burel, da marca Burel Factory, à cor NCS S 2010-G30Y com tratamento FR. Dimensões de 292x153 cm, conforme desenho 36491I C22 002 e demais informações constantes do mapa de mobiliário. A aprovar mediante amostra. (D11-V)</t>
  </si>
  <si>
    <t>Estante em MDF ignífugo lacado à cor NCS S 2010-G30Y. Com detalhes estofado alchochoado com tecido Burel, da marca Burel Factory, à cor NCS S 2010-G30Y com tratamento FR. Dimensões de 292x153 cm, conforme desenho 36491I C22 002 e demais informações constantes do mapa de mobiliário. A aprovar mediante amostra. (D11-VE)</t>
  </si>
  <si>
    <t>Estante em MDF ignífugo lacado à cor NCS S 2010-B. Com detalhes estofado alchochoado com tecido Burel, da marca Burel Factory, à cor NCS S 2010-B com tratamento FR. Dimensões de 280x153 cm, conforme desenho 36491I C22 002 e demais informações constantes do mapa de mobiliário. A aprovar mediante amostra. (D12-A)</t>
  </si>
  <si>
    <t>Estante rotativa em MDF ignífugo lacado à cor NCS S 2010-B. Com detalhes estofado alchochoado com tecido Burel, da marca Burel Factory, à cor NCS S 2010-B com tratamento FR. Dimensões de 280x153 cm, conforme desenho 36491I C22 003 e demais informações constantes do mapa de mobiliário. A aprovar mediante amostra. (D13)</t>
  </si>
  <si>
    <t>Pé para TV em estrutura em metal texturizado preto. Deve ser garantida a compatibilidade do pé com a TV selecionada pelo dono de obra assim como todas as ligações necessárias sejam feitas de uma forma oculta. Dimensões a serem validadas em desenhos de preparação, e demais informações constantes do mapa de mobiliário. A aprovar mediante amostra. (D14)</t>
  </si>
  <si>
    <t>Almofada decorativa em rolo com tecido Aldeco – Resistance Easy Clean FR – 06 Marsala, com vivo em tecido azul escuro RAL 5020. Dimensões de Ø 20 x L 68 cm, a serem validados em desenhos de preparação, e demais informações constantes do mapa de mobiliário. A aprovar mediante amostra. (D15-A)</t>
  </si>
  <si>
    <t>Almofada decorativa em rolo com tecido Aldeco – Resistance Easy Clean FR – 06 Marsala, com vivo em tecido verde escuro RAL 6009. Dimensões de Ø 20 x L 68 cm, a serem validados em desenhos de preparação, e demais informações constantes do mapa de mobiliário. A aprovar mediante amostra. (D15-V)</t>
  </si>
  <si>
    <t>Artwork com moldura de MDF lacado à cor antracite. Moldura preta 35x35 cm com 1 cm de largura. Passepartout com recorte de 21x15 cm. Vidro normal incolor. Impressão sobre folha de papel algodão. Desenho fornecido pelo ID e demais informações constantes do mapa de mobiliário. A aprovar mediante amostra.
(D16)</t>
  </si>
  <si>
    <t>Roupeiro + bar + Painel TV com secretária encostada. Lacado à cor NCS S 2010-B. Com detalhes estofado alchochoado com tecido Burel, da marca Burel Factory, à cor NCS S 2010-B com tratamento FR. Dimensões de 280x330 cm, conforme desenho 36491I C22 002 e demais informações constantes do mapa de mobiliário.  A aprovar mediante amostra. (D17)</t>
  </si>
  <si>
    <t>Poltrona de estofado com espuma CMHR, pés metálicos texturado lacado na cor preto. Tecido Jover – Cesara – Crow Foot SR – 03.74291/83. Dimensões de L 64 x P 70 x A 78 cm, com altura assento em 38 cm, a serem validados em desenhos de preparação, e demais informações constantes do mapa de mobiliário. A aprovar mediante amostra.(E01)</t>
  </si>
  <si>
    <t>Chaise-longue com tecido Aldeco – Resistance Easy Clean FR – 06 Marsala, dimensões de L 150 x P 60 x A 70 cm, a serem validados em desenhos de preparação, e demais informações constantes do mapa de mobiliário.A aprovar mediante amostra. (E02)</t>
  </si>
  <si>
    <t>Chaise-longue com tecido Aldeco – Resistance Easy Clean FR – 06 Marsala, dimensões de L 180 x P 60 x A 70 cm, a serem validados em desenhos de preparação, e demais informações constantes do mapa de mobiliário. A aprovar mediante amostra.(E03)</t>
  </si>
  <si>
    <t>Candeeiro em estrutura metálica e vidro. Com tubo metálico texturado, base aço texturado lacado no RAL2013, parte superior em alumínio lacado no mesmo RAL que a base, da Oluce, Refª Coupé 3321. Deverá ser garantido a estabilidade da peça. O acionamento do candeeiro deverá ser por interruptor de parede, ou seja, o candeeiro estará ligado diretamente a um circuito de iluminação. Dimensões de Ø 28 x A 140 cm, a serem validados em desenhos de preparação, e demais informações constantes do mapa de mobiliário. A aprovar mediante amostra.(E04)</t>
  </si>
  <si>
    <t>Mesa de apoio da Normann Copenhagen, Refª Turn Table, com acabamento em aço com revestimento em pó e folheado de freixo, de cor preta. Dimensões de Ø 40 x A 55 cm, a serem validados em desenhos de preparação, e demais informações constantes do mapa de mobiliário.A aprovar mediante amostra. (E05)</t>
  </si>
  <si>
    <t>Mesa de centro de cor preta. Dimensões de Ø 80 x A 40 cm, a serem validados em desenhos de preparação, e demais informações constantes do mapa de mobiliário. A aprovar mediante amostra.(E06)</t>
  </si>
  <si>
    <t>Pouf com base preta e estofo em tecido Aldeco – Resistance Easy Clean FR – 06 Marsala. Dimensões de Ø 60 x A 40 cm, a serem validados em desenhos de preparação, e demais informações constantes do mapa de mobiliário. Nota: A altura final do pouf deve ser igual a altura final da mesa de centro E06. A aprovar mediante amostra.(E07)</t>
  </si>
  <si>
    <t>Fornecimento e colocação de espelho toucador (tipo IS), tipo Saint Gobain SGG Miralite Revolution 6mm cor Pure e moldura em MDF hidrófugo de 19mm de espessura com acabamento  em nogueira. Dimensões 1.10(A)x0.55(L)m. Inclui reforço na parte de trás para fixação do espelho à parede, efeito flutuante. Inclui apoio do espelho à parede através de apoios e afastadores ocultos. Com foscagem na periferia de 25mm de largura para passar a iluminação, aplicado sobre base em MDF hidrofugo com 19mm de espessura pintado na cor preta. Inclui fita led 2700k na periferia da base de mdf. Conforme desenho 36491I C22 003 e demais informações constantes do mapa de mobiliário. A aprovar mediante amostra. (E08)</t>
  </si>
  <si>
    <t>Toucador composto por prateleira em madeira com 10 cm de espessura na frente, com fixação à parede oculta e acabamento HPL Egger Nogueira H17 14 ST19 (a aprovar com amostra). Dimensões aproximadas de L 140 cm x P 40cm (a confirmar in loco), a serem validados em desenhos de preparação, e demais informações constantes do mapa de mobiliário. A aprovar mediante amostra. (E09)</t>
  </si>
  <si>
    <r>
      <t xml:space="preserve">Candeeiro de teto suspenso, para toucador (tipo I.S.), com estrutura em latão e ferro texturizado lacado a preto com campanula em vidro canelado com lâmpada E27 2700K, da Aromas del Campo, Refª Elma. Com </t>
    </r>
    <r>
      <rPr>
        <sz val="10"/>
        <rFont val="Calibri"/>
        <family val="2"/>
      </rPr>
      <t xml:space="preserve">Ø12 x A 32cm. A serem validados em desenhos de preparação, e demais informações constantes do mapa de mobiliário. A aprovar mediante amostra. </t>
    </r>
    <r>
      <rPr>
        <sz val="10"/>
        <rFont val="Calibri"/>
        <family val="2"/>
        <scheme val="minor"/>
      </rPr>
      <t>(2 por quarto) (E10)</t>
    </r>
  </si>
  <si>
    <t>Secretária com tampo em contraplacado maritimo com 20mm de espessura e topo em linoleo preto, pés metálicos pretos texturizado que inclui base de feltro nos pés para proteção do pavimento. Dimensões de L 120 x P 50 x A 75 cm, a serem validados em desenhos de preparação, e demais informações constantes do mapa de mobiliário. A aprovar mediante amostra. (T01)</t>
  </si>
  <si>
    <t>Secretária com tampo em contraplacado maritimo com 20mm de espessura e topo em linoleo preto, pés metálicos pretos texturizado que inclui base de feltro nos pés para proteção do pavimento. da Hay, Refª Pyramid 01, Dimensões de L 120 x P 45 x A 75 cm, a serem validados em desenhos de preparação, e demais informações constantes do mapa de mobiliário. A aprovar mediante amostra. (T02)</t>
  </si>
  <si>
    <t>Secretária com tampo em contraplacado maritimo com 20mm de espessura e topo em linoleo preto, pés metálicos pretos texturizado que inclui base de feltro nos pés para proteção do pavimento. Dimensões de P 45 x A 75 cm e L a definir a partir das plantas de pisos. No tampo da mesa deverá ser considerado o fornecimento e instalação de um ofiblock preto com tampa oculta de acabamento igual ao tampo da mesa. O ofiblock deverá possuir entradas schuko e USB A+C. A mesa será validada em desenhos de preparação, e demais informações constantes do mapa de mobiliário. A aprovar mediante amostra. (encostada ao burel) (T03)</t>
  </si>
  <si>
    <t>Secretária com tampo com base em contraplacado maritimo com 20mm de espessura e topo em linoleo preto, pés metálicos pretos texturizado que inclui base de feltro nos pés para proteção do pavimento. Dimensões de Ø 80 x A 60 cm, a serem validados em desenhos de preparação, e demais informações constantes do mapa de mobiliário. A aprovar mediante amostra. (T04)</t>
  </si>
  <si>
    <t>Secretária (complemento da cabeceira) em MDF de 30mm, acabamento HPL EGGER Nogueira Lincoln H1714 ST19. Conforme desenho 36491I C22 003 e demais informações constantes do mapa de mobiliário. A aprovar mediante amostra. (T05)</t>
  </si>
  <si>
    <t>Candeeiro de secretária da marca Artemide de referência Tolomeo Mini Wall - Black - Body Lamp com dimensões de P 71 cm x A 57 cm e lâmpada 2700K.
Nota 1: Não será aceito alternativas, devendo ser orçamentado o candeeiro original.
Nota 2: O candeeiro será instalado diretamente em um circuito de iluminação pelos eletricistas. O fornecedor deverá manter a garantia do candeeiro. A aprovar mediante amostra. (T06)</t>
  </si>
  <si>
    <t>Candeeiro de secretária de acabamento em metal preto texturizado da Davide Groppi, Refª TeTaTeT table lamp. Temperatura da luz em 2700K, dimensões de A 34.5 cm x L9 cm, a serem validados em desenhos de preparação, e demais informações constantes do mapa de mobiliário. A aprovar mediante amostra. (T07)</t>
  </si>
  <si>
    <t>Cadeira com pés metálicos pretos texturizado, estofado com tecido Aldeco – Resistance Easy Clean FR – 06 Marsala. Dimensões de L 62 x P 57 x A 79 cm, a serem validados em desenhos de preparação, e demais informações constantes do mapa de mobiliário. A aprovar mediante amostra. (T08)</t>
  </si>
  <si>
    <t>Cadeira com pés metálicos pretos texturizado, estofado com tecido Jover – Cesara – Crow Foot SR – 03.74291/83. Dimensões mais semelhantes a de um cadeirão de trabalho, A serem validados em desenhos de preparação, e demais informações constantes do mapa de mobiliário.  A aprovar mediante amostra. (T09)</t>
  </si>
  <si>
    <t>Pouf estofado com tecido Jover – Cesara – Crow Foot SR – 03.74291/83 e com vivo na cor preta, rodapé em metal preto texturado RAL9005. Dimensões de Ø 40 x A 48 cm, a serem validados em desenhos de preparação, e demais informações constantes do mapa de mobiliário. (preto/branco). A aprovar mediante amostra. (T10)</t>
  </si>
  <si>
    <t>Pouf estofado com tecido Aldeco – Resistance Easy Clean FR – 06 Marsala e com vivo na mesma cor do tecido, rodapé em metal preto texturado RAL9005. Dimensões de Ø 40 x A 48 cm, a serem validados em desenhos de preparação, e demais informações constantes do mapa de mobiliário. A aprovar mediante amostra. (laranja) (T11)</t>
  </si>
  <si>
    <t>Espelho incolor com película de segurança e moldura de espelho, de secção retangular (30x10mm) em alumínio anodizado preto, acabamento escovado. Dimensões de 90x200 cm. Conforme desenho 36491I C22 004 e demais informações constantes do mapa de mobiliário. A aprovar mediante amostra. (O01)</t>
  </si>
  <si>
    <t>Espelho incolor com película de segurança e moldura de espelho, de secção retangular (30x10mm) em alumínio anodizado preto, acabamento escovado. Dimensões de 90x200 cm. Fixação tipo porta, com dobradiças e fecho ocultos, adequados ao peso do espelho e acesso a Quadro Elétrico. Conforme desenho 36491I C22 004 e demais informações constantes do mapa de mobiliário. A aprovar mediante amostra. (O02)</t>
  </si>
  <si>
    <t>Cabide da marca Muuto, Refª The dots na cor preta. Dimensão de 9 cm, a serem validados em desenhos de preparação, e demais informações constantes do mapa de mobiliário. A aprovar mediante amostra. (O03)</t>
  </si>
  <si>
    <t>Pousa malas com estrutura em madeira tipo  com tiras de pele cabedal com fixação de tachas em preto e painel de parede em MDF ignífugo folheado a nogueira e cabides em madeira maciça de nogueira. Dimensões do pousa malas aberto de 47 x 52 x 60 cm, a serem validados em desenhos de preparação, e demais informações a considerar no mapa do mobiliário em anexo. A aprovar mediante amostra. (O04)</t>
  </si>
  <si>
    <t>Pousa malas com estrutura tubular de 2 cm metálica texturado lacada a RAL 9005, revestimento em pele AMS - Antique – 817 Chestnut. Dimensões de 40 x 52 x 120 cm, conforme desenho 36491I C22 004 e demais informações constantes do mapa de mobiliário. A aprovar mediante amostra. (O05)</t>
  </si>
  <si>
    <t>Cortina decorativa voile com tecido Panaz – Baptiste – 802 Champagne. Inclui 1 par de bengalins metálicos preto texturizado por abertura, instalados a 160cm do pavimento. Deve ser adicionado um peso às bainhas para aperfeiçoar a onda. Dimensões a serem extraidas in loco (2x a dimensão do vão), a serem validados em desenhos de preparação, e demais informações constantes do mapa do mobiliário.
Nota: Abertura ao centro, com sistema wave e trilho fixo ao teto. A aprovar mediante amostra. (O06)</t>
  </si>
  <si>
    <t>Cortina decorativa blackout tecido Panaz – Solstice 2 Blackout – 901 Silver. Inclui 1 par de bengalins metálicos preto texturizado por abertura, instalados a 160cm do pavimento. Deve ser adicionado um peso às bainhas para aperfeiçoar a onda. Inclui instalação de sistema velcros nas laterais junto às paredes. Dimensões a serem extraidas in loco (2x a dimensão do vão),  a serem validados em desenhos de preparação, e demais informações constantes do mapa do mobiliário.
Nota 1: Abertura ao centro, com sistema wave e trilho fixo ao teto.
Nota 2: Deverá ser garantido o black-out total do quarto - cruzando os tecidos na abertura central e adicionando um sistema de velcros nas laterais em cantoneiras metálicas fixadas à parede. A aprovar mediante amostra. (O07-A)</t>
  </si>
  <si>
    <t>Cortina decorativa blackout tecido Panaz – Solstice 2 Blackout – 204 Moss. Inclui 1 par de bengalins metálicos preto texturizado por abertura, instalados a 160cm do pavimento. Deve ser adicionado um peso às bainhas para aperfeiçoar a onda. Inclui instalação de sistema velcros nas laterais junto às paredes. Dimensões a serem extraidas in loco (2x a dimensão do vão),  a serem validados em desenhos de preparação, e demais informações constantes do mapa do mobiliário.
Nota 1: Abertura ao centro, com sistema wave e trilho fixo ao teto.
Nota 2: Deverá ser garantido o black-out total do quarto - cruzando os tecidos na abertura central e adicionando um sistema de velcros nas laterais em cantoneiras metálicas fixadas à parede. A aprovar mediante amostra. (O07-V)</t>
  </si>
  <si>
    <t>Tapete da marca Brintons, Refª Axminster, cor 2-ply twist, cada cor base lisa deve ser obtida por uma mescla de, no minimo, dois tons próximos. Dimensões a verificar nas plantas por tipologia e por piso.  Conforme informações constantes do mapa de mobiliário. A aprovar mediante amostra. (O09)</t>
  </si>
  <si>
    <t>Roupeiro encastrado com interior em HPL Egger Nogueira H1714 ST19, portas em MDF hidrófugo com ripados lacados RAL 6009, ferragens externas em alumínio lacado RAL 6009, ferragens internas em RAL 7022, varão roupeiro tubo diam. 20mm incluindo iluminação LED 2700K. Dimensões a serem validados em desenhos de preparação. Conforme desenho 36491I C22 004 e demais informações constantes do mapa de mobiliário. A aprovar mediante amostra. (O10)</t>
  </si>
  <si>
    <t>Louceiro com estrutura metálica texturizado na cor preto e MDF com revestimento vinílico (Vescom- substrato de wallcovering+print vinílico com textura impressa de acordo com imagem de referência do mapa de mobiliário, tipo Sagara+Print) Interior folheado a madeira de nogueira. Tampo em mármore Negro Marquina com acabamento polído, incluindo película de proteção anti nódoas Impersol Pf100R, puxadores em aço inox na cor preta. Prateleira interior em vidro incolor temperado com remate perimetral metálico texturado à cor preta. Iluminação integrada com fita LED de temperatura de cor 2700K. Considerar eletrificação oculta para tomadas. Dimensões a serem validados em desenhos de preparação. Conforme desenho 36491I C22 005 e demais informações constantes do mapa de mobiliário.  A aprovar mediante amostra. (O11)</t>
  </si>
  <si>
    <t>Roupeiro + bar em estrutura metálica de secção quadrangular (20mm) em alumínio anodizado cor preto, acabamento texturado. Prateleiras interiores e fundo em MDF folheado a HPL EGGER Nogueira Lincoln H1714 ST19, rodapé, frente de gaveta e portas em mdf lacados no RAL 5020, puxadores ocultos, fundo revestido em espelho incolor de 6mm com arestas polidas, Prateleira em vidro, com remate perimetral metálico texturado à cor preta, Tampo em Marmore Nero Marquina, com acabamento polido, incluindo película de proteção anti nódoas Impersol Pf100R, varão metálico arredondado lacado mate cor preto, com iluminação led 2700K integrada. Dimensões a serem validados em desenhos de preparação. Conforme desenho 36491I C22 004 e demais informações constantes do mapa de mobiliário.   A aprovar mediante amostra. (O12)</t>
  </si>
  <si>
    <t>Roupeiro + bar em estrutura metálica de secção quadrangular (20mm) em alumínio anodizado cor preto, acabamento texturado. Prateleiras interiores e fundo em MDF folheado a HPL EGGER Nogueira Lincoln H1714 ST19, rodapé, frente de gaveta e portas em mdf lacados no RAL 5020, puxadores ocultos, varão metálico arredondado lacado mate cor preto, com iluminação led 2700K integrada. Dimensões a verificar nas plantas dos pisos, a serem validados em desenhos de preparação. Conforme desenho 36491I C22 005 e demais informações constantes do mapa de mobiliário. A aprovar mediante amostra.  (O13)</t>
  </si>
  <si>
    <t>Prateleiras interiores e fundo em MDF folheado a HPL EGGER Nogueira Lincoln H1714 ST19, rodapé, frente de gaveta e portas em mdf lacados no RAL 5020, puxadores ocultos, fundo revestido em espelho incolor de 6mm com arestas polidas, Prateleira em vidro, com remate perimetral metálico texturado à cor preta, Tampo em Marmore Nero Marquina, com acabamento polido, incluindo película de proteção anti nódoas Impersol Pf100R. Dimensões a serem validados em desenhos de preparação. Conforme desenho 36491I C22 005 e demais informações constantes do mapa de mobiliário. A aprovar mediante amostra. (O14)</t>
  </si>
  <si>
    <t>Cadeira para exterior com estrutura em aço texturizado lacado com costas em corda e estofo em tecido, da marca Pedrali, Refª Nolita 3655 +3655,3 (com almofada D24), cor TE TEE. Dimensões de L 59,5 x P 53 x A 77 cm e altura do assento em 77 cm,  a serem validados em desenhos de preparação, e demais informações constantes do mapa do mobiliário. A aprovar mediante amostra. (V01)</t>
  </si>
  <si>
    <t>Cadeirão para exterior com estrutura em aço texturizado lacado com costas em corda e estofo em tecido, da marca Pedrali, Refª Nolita 3655 +3655,3 (com almofada D24), cor TE TEE.. Dimensões de L 58,5 x P 63 x A 72 cm,  a serem validados em desenhos de preparação,  e demais informações constantes do mapa do mobiliário. A aprovar mediante amostra. (V02)</t>
  </si>
  <si>
    <t>Espreguiçadeira para exterior com estrutura em aço texturizado lacado com costas em corda e estofo em tecido, da marca Pedrali, Refª Nolita 3655 +3655,3 (com almofada D24), cor TE TEE. Dimensões de L 57,5 x P 1795 x A 95 cm,  a serem validados em desenhos de preparação,  e demais informações constantes do mapa do mobiliário. A aprovar mediante amostra. (V03)</t>
  </si>
  <si>
    <t>Sofá para exterior com estrutura em aço texturizado lacado com costas em corda e estofo em tecido, da marca Pedrali, Refª Nolita sofá DN02 (com almofada D24), cor TE TEE.. Dimensões de L 1280 x P 820 x A 70 cm,  a serem validados em desenhos de preparação,  e demais informações constantes do mapa do mobiliário. A aprovar mediante amostra. (V04)</t>
  </si>
  <si>
    <t>Mesa de apoio para exterior com estrutura em aço texturizado lacado da marca Pedrali, Refª Nolita 5453 H480, cor TE TEE. Dimensões de Ø 40 x A 48 cm,  a serem validados em desenhos de preparação, e demais informações constantes do mapa do mobiliário.A aprovar mediante amostra. (V05)</t>
  </si>
  <si>
    <t>Mesa de apoio para exterior com estrutura em aço texturizado lacado da marca Pedrali, Refª Nolita 5453 H480, cor TE TEE. Dimensões de Ø 70 x A 72 cm,  a serem validados em desenhos de preparação,  e demais informações constantes do mapa do mobiliário. A aprovar mediante amostra. (V06)</t>
  </si>
  <si>
    <t>Mesa de apoio para exterior da marca Sklum, Refª Bongani, acabamento em cimento e cerâmico de cor vermelho argila. Dimensões de L 30 x P 30 x A 60cm,  a serem validados em desenhos de preparação,  e demais informações constantes do mapa do mobiliário. A aprovar mediante amostra. (V07)</t>
  </si>
  <si>
    <t>Cadeirão para exterior, com estrutura em metal com assento e costas em pele, da marca Area, Refª Wisa. Dimensões L76xP70xA74 - altura do assento 45cm. Verificar condições da peça, fazer limpeza e reparação se necessário (peça existente nos espaços temporários. Conforme plantas de piso   e demais informações constantes do mapa do mobiliário. A aprovar mediante amostra. (C01)</t>
  </si>
  <si>
    <t>Vaso com plantas em cerâmico vidrado tom aproximado RAL 6009 (a aprovar com amostra). Conforme plantas de piso   e demais informações constantes do mapa do mobiliário. A aprovar mediante amostra. (C02)</t>
  </si>
  <si>
    <t>Conjunto de duas mesas de centro da Normann Copenhagen, Refª Turn Table, com acabamento em aço com revestimento em pó e folheado de freixo, de cor preta Com tratamento hidrófugo r snti-gorduras. Dimensões de Ø 80 x A 40 cm e  Ø 40 x A 50 cm.  Conforme plantas de piso   e demais informações constantes do mapa do mobiliário. A aprovar mediante amostra. (C03)</t>
  </si>
  <si>
    <t>Candeeiro de pé com estrutura metálica preta com abat-jur em linho, da marca Area, Refª Melodie (candeeiro) + Pale (abat-jour). Dimensões de Ø 25 x A 110 cm. Conforme plantas de piso   e demais informações constantes do mapa do mobiliário. A aprovar mediante amostra. (C04)</t>
  </si>
  <si>
    <t>Aparador com estrutura metálica preta com tampo em pedra mármora preto marquina (a confirmar com amostra). Com tratamento hidrófugo e anti-gorduras. Dimensões L160xP40xAA90cm.  Conforme plantas de piso   e demais informações constantes do mapa do mobiliário. A aprovar mediante amostra. (C05)</t>
  </si>
  <si>
    <t>Espelho incolor com película de segurança e moldura de espelho, de secção retangular (30x10mm) em alumínio anodizado preto, acabamento escovado. Dimensões de 60x100 cm. Conforme plantas de piso   e demais informações constantes do mapa do mobiliário. A aprovar mediante amostra. (C06)</t>
  </si>
  <si>
    <t>Espelho incolor com película de segurança e moldura de espelho, de secção retangular (30x10mm) em alumínio anodizado preto, acabamento escovado. Dimensões de 50x210 cm. Conforme plantas de piso   e demais informações constantes do mapa do mobiliário.  A aprovar mediante amostra.(C07)</t>
  </si>
  <si>
    <t>Banqueta em estrutura metálica preta e estofo em tecido Jover - Cesara - Crow Foot SR - 03.74291/83, da marca Kave Home, Refª Campo. Dimensões P44xL120xA45. Conforme plantas de piso   e demais informações constantes do mapa do mobiliário.  A aprovar mediante amostra.(C08)</t>
  </si>
  <si>
    <t>Tapete da marca Brintons, Refª Axminster, cor 2-ply twist, cada cor base lisa deve ser obtida por uma mescla de, no minimo, dois tons próximos. Com Ø2,1m. Conforme plantas de piso   e demais informações constantes do mapa do mobiliário. A aprovar mediante amostra. (C09)</t>
  </si>
  <si>
    <t>Fornecimento e aplicação de cerâmico Aleluia, série Raku  - Green Jade, com dimensões 5,6 x 26,7x0,77cm, Refª R2775C8 (Conforme projeto de Interior Design. A confirmar com amostra no local), a colocar na instalação sanitária, sem juntas de assentamento, de acordo com o preconizado nas peças desenhadas e escritas de projeto, juntas de acordo com o fabricante, com cimentos cola indicado pelo fornecedor, incluindo colas, regularização da parede após remoção das antigas peças, colmatação de roços abertos para passagem de instalações ou áreas necessárias da parede decorrentes da demolição e todos os cortes necessários que garantam um correto acabamento aos elementos adjacentes. Incluindo betumação, regularização entre outros trabalhos necessários a um perfeito acabamento.  Nota: Colocação do cerâmico segundo peças desenhadas. (Instalação Sanitária Duche)
Nota: Revestimento deve ser aplicado de modo a não ficarem peças mais claras adjacentes umas às outras, para evitar fugir à cor originalmente proposta.</t>
  </si>
  <si>
    <t>Fornecimento e colocação de espelho Saint Gobain SGG Miralite Revolution 6mm cor Gris (Conforme projeto de Interior Design. A confirmar com amostra no local), colado a estrutura de aluminio anodizado. Inclui sistema de desembaciamento tipo Arflex aplicado na parte tardoz do espelho. Inclui furações para compatibilização com a fixação do espelho com moldura e do espelho de aumento e para instalação de aparelhagens elétricas.  Inclui todos os trabalhos, remates e acessórios necessários a um correto acabamento e funcionamento. de acordo com o preconizado nas peças desenhadas e escritas de projeto e especificações do Caderno de Encargos. Nota: Colocação do espelho segundo peças desenhadas, a partir da cota 1,10 m. 
(paredes de lavatórios)
Nota: Aplicação iniciada após revestimento cerâmico (acima de 1,10m) até à totalidade do pé-direito (incluindo acima da sanca), conforme desenhos parciais.</t>
  </si>
  <si>
    <t>Fornecimento e colocação de espelho Saint Gobain SGG Miralite Revolution 6mm cor Gris (Conforme projeto de Interior Design. A confirmar com amostra no local), colado a estrutura de aluminio anodizado. Inclui furações para compatibilização com a fixação do espelho com moldura e do espelho de aumento e para instalação de aparelhagens elétricas.  Inclui todos os trabalhos, remates e acessórios necessários a um correto acabamento e funcionamento. de acordo com o preconizado nas peças desenhadas e escritas de projeto e especificações do Caderno de Encargos. Nota: Colocação do espelho segundo peças desenhadas, a partir da cota 1,10 m. 
(paredes de lavatórios)
Nota: Aplicação iniciada após revestimento cerâmico (acima de 1,10m) até à totalidade do pé-direito (incluindo acima da sanca), conforme desenhos parciais.</t>
  </si>
  <si>
    <t>Fornecimento e colocação de espelho Saint Gobain SGG Miralite Revolution 6mm cor Gris (Conforme projeto de Interior Design. A confirmar com amostra no local), colado a estrutura de aluminio anodizado. Inclui sistema de desembaciamento tipo Arflex aplicado na parte tardoz do espelho. Inclui furações para compatibilização com a fixação do espelho com moldura e do espelho de aumento e para instalação de aparelhagens elétricas.  Inclui todos os trabalhos, remates e acessórios necessários a um correto acabamento e funcionamento. de acordo com o preconizado nas peças desenhadas e escritas de projeto e especificações do Caderno de Encargos. Nota: Colocação do espelho segundo peças desenhadas, a partir da cota 1,10 m.
(paredes de lavatórios)
Nota: Aplicação iniciada após revestimento cerâmico (acima de 1,10m) até à totalidade do pé-direito (incluindo acima da sanca), conforme desenhos parciais.</t>
  </si>
  <si>
    <t>Fornecimento e colocação de espelho Saint Gobain SGG Miralite Revolution 6mm cor Gris (Conforme projeto de Interior Design. A confirmar com amostra no local), colado a estrutura de aluminio anodizado. Inclui furações para compatibilização com a fixação do espelho com moldura e do espelho de aumento e para instalação de aparelhagens elétricas.  Inclui todos os trabalhos, remates e acessórios necessários a um correto acabamento e funcionamento. de acordo com o preconizado nas peças desenhadas e escritas de projeto e especificações do Caderno de Encargos. Nota: Colocação do espelho segundo peças desenhadas, a partir da cota 1,10 m.
(paredes de lavatórios)
Nota: Aplicação iniciada após revestimento cerâmico (acima de 1,10m) até à totalidade do pé-direito (incluindo acima da sanca), conforme desenhos parciais.</t>
  </si>
  <si>
    <t>Fornecimento e execução de revestimento mural tipo "VESCOM", refª Sagara+Print à cor NCS S 2010-G30Y  (verde conforme projeto de Interior Design. A confirmar com amostra no local), aplicado sobre suporte limpo e desempenado. Inclui preparação da base para um perfeito acabamento, conforme indicações do fornecedor/instalador. Inclui a colagem com cola adequada às superfícies a aderir. Trabalho de acordo com o preconizado nas peças desenhadas de preparação. (Quarto)</t>
  </si>
  <si>
    <t>Estrutura para sanita suspensa GROHE Rapid SL Project - sistema de instalação 1,13m, Ref.ª 38840000, com armação em aço galvanizado autoportante e autoclismo de dupla descarga em Polipropileno, incluindo curva de descarga em PVC.</t>
  </si>
  <si>
    <t>Artwork com moldura de madeira tipo nogueira com 1cm de largura + 2cm de profundidade. Tela com técnica de impressão em serigrafia de L 60 x P 2 x A 85 cm (2cm de distância entre a moldura e a tela). Desenho a fornecer pelo curador de arte. Fundo RAL 6009 ou RAL 5020 (dependendo do quarto), imagens laranja RAL a definir.
Nota: Fixação tipo porta, com dobradiças e fecho ocultos, adequados ao peso do espelho e acesso a Quadro Eletrico. Conforme informações constantes do mapa de mobiliário. A aprovar mediante amostra.(O08)</t>
  </si>
  <si>
    <t>Artwork com moldura de madeira tipo nogueira com 1cm de largura + 2cm de profundidade. Tela com técnica de impressão em serigrafia de L 70 x P 2 x A 90 cm (2cm de distância entre a moldura e a tela). Desenho a fornecer pelo curador de arte. Conforme informações constantes do mapa de mobiliário, a aprovar com amostra. A aprovar mediante amostra. (O15)</t>
  </si>
  <si>
    <t>Vasos delimitadores com Plantas. Dimensões conforme projeto de ID e demais informações constantes do mapa do mobiliário. A aprovar mediante amostra. (varandas)</t>
  </si>
  <si>
    <t>Fornecimento e aplicação de divisória de duche Italbox Frame PV90 155 H235 vidro 8mm, na cor preta com rasgo retangular com cantos arredondados para ventilação na porta, centrado na porta, com 44x6cm, afastado 17cm do topo da porta (conforme executado em MUR). Com dimensões a confirmar no local e altura até ao teto.  Inclui puxador Italbox DS2025 na cor preta, aplicado de ambos os lados da porta, com batente colado. Com todos os trabalhos de montagem e vedantes necessários, de acordo com o preconizado nas peças desenhadas e escritas de projeto.</t>
  </si>
  <si>
    <t>Fornecimento e aplicação de divisória de duche Italbox Frame PV90 185 H235 vidro 8mm, na cor preta com rasgo retangular com cantos arredondados  para ventilação na porta, centrado na porta, com 44x6cm, afastado 17cm do topo da porta (conforme executado em MUR). Com dimensões a confirmar no local e altura até ao teto.  Inclui puxador Italbox DS2025 na cor preta, aplicado de ambos os lados da porta, com batente colado. Com todos os trabalhos de montagem e vedantes necessários, de acordo com o preconizado nas peças desenhadas e escritas de projeto.</t>
  </si>
  <si>
    <t>Fornecimento e aplicação de divisória de duche Italbox Frame PV90 130 H235 vidro 8mm, na cor preta com rasgo retangular com cantos arredondados  para ventilação na porta, centrado na porta, com 44x6cm, afastado 17cm do topo da porta (conforme executado em MUR). Com dimensões a confirmar no local e altura até ao teto.  Inclui puxador Italbox DS2025 na cor preta, aplicado de ambos os lados da porta, com batente colado. Com todos os trabalhos de montagem e vedantes necessários, de acordo com o preconizado nas peças desenhadas e escritas de projeto.</t>
  </si>
  <si>
    <t>Fornecimento e aplicação de divisória de duche Italbox Frame PV90 150 H235 vidro 8mm, na cor preta com rasgo retangular com cantos arredondados  para ventilação na porta, centrado na porta, com 44x6cm, afastado 17cm do topo da porta (conforme executado em MUR). Com dimensões a confirmar no local e altura até ao teto.  Inclui puxador Italbox DS2025 na cor preta, aplicado de ambos os lados da porta, com batente colado. Com todos os trabalhos de montagem e vedantes necessários, de acordo com o preconizado nas peças desenhadas e escritas de projeto.</t>
  </si>
  <si>
    <t>Fornecimento e aplicação de divisória de duche Italbox Frame PV90 165 H235 vidro 8mm, na cor preta com rasgo retangular com cantos arredondados  para ventilação na porta, centrado na porta, com 44x6cm, afastado 17cm do topo da porta (conforme executado em MUR). Com dimensões a confirmar no local e altura até ao teto.  Inclui puxador Italbox DS2025 na cor preta, aplicado de ambos os lados da porta, com batente colado. Com todos os trabalhos de montagem e vedantes necessários, de acordo com o preconizado nas peças desenhadas e escritas de projeto.</t>
  </si>
  <si>
    <t>Fornecimento e aplicação de divisória de duche Italbox Frame PV90 120 H235 vidro 8mm, na cor preta com rasgo retangular com cantos arredondados  para ventilação na porta, centrado na porta, com 44x6cm, afastado 17cm do topo da porta (conforme executado em MUR). Com dimensões a confirmar no local e altura até ao teto.  Inclui puxador Italbox DS2025 na cor preta, aplicado de ambos os lados da porta, com batente colado. Com todos os trabalhos de montagem e vedantes necessários, de acordo com o preconizado nas peças desenhadas e escritas de projeto.</t>
  </si>
  <si>
    <t>Fornecimento e aplicação de divisória de duche Italbox Frame PV90 112 H235 vidro 8mm, na cor preta com rasgo retangular com cantos arredondados  para ventilação na porta, centrado na porta, com 44x6cm, afastado 17cm do topo da porta (conforme executado em MUR). Com dimensões a confirmar no local e altura até ao teto.  Inclui puxador Italbox DS2025 na cor preta, aplicado de ambos os lados da porta, com batente colado. Com todos os trabalhos de montagem e vedantes necessários, de acordo com o preconizado nas peças desenhadas e escritas de projeto.</t>
  </si>
  <si>
    <t>Fornecimento e aplicação de divisória de duche Italbox Frame PV90 116 H235 vidro 8mm, na cor preta com rasgo retangular com cantos arredondados  para ventilação na porta, centrado na porta, com 44x6cm, afastado 17cm do topo da porta (conforme executado em MUR). Com dimensões a confirmar no local e altura até ao teto.  Inclui puxador Italbox DS2025 na cor preta, aplicado de ambos os lados da porta, com batente colado. Com todos os trabalhos de montagem e vedantes necessários, de acordo com o preconizado nas peças desenhadas e escritas de projeto.</t>
  </si>
  <si>
    <t>Fornecimento e aplicação de divisória de duche Italbox Frame PV90 152 H235 vidro 8mm, na cor preta com rasgo retangular com cantos arredondados  para ventilação na porta, centrado na porta, com 44x6cm, afastado 17cm do topo da porta (conforme executado em MUR). Com dimensões a confirmar no local e altura até ao teto.  Inclui puxador Italbox DS2025 na cor preta, aplicado de ambos os lados da porta, com batente colado. Com todos os trabalhos de montagem e vedantes necessários, de acordo com o preconizado nas peças desenhadas e escritas de projeto.</t>
  </si>
  <si>
    <t>Fornecimento e aplicação de divisória de duche Italbox Frame PV90 155 H235 vidro 8mm, na cor preta com rasgo retangular com cantos arredondados  para ventilação na porta, centrado na porta, com 44x6cm, afastado 17cm do topo da porta (conforme executado em MUR). Com dimensões a confirmar no local e altura até ao teto.  Inclui puxador Italbox DS2025 na cor preta, aplicado de ambos os lados da porta, com batente colado. Com todos os trabalhos de montagem e vedantes necessários, de acordo com o preconizado nas peças desenhadas e escritas de projeto.</t>
  </si>
  <si>
    <t>Fornecimento e aplicação de divisória de duche Italbox Frame PV90 136 H235 vidro 8mm, na cor preta com rasgo retangular com cantos arredondados  para ventilação na porta, centrado na porta, com 44x6cm, afastado 17cm do topo da porta (conforme executado em MUR). Com dimensões a confirmar no local e altura até ao teto.  Inclui puxador Italbox DS2025 na cor preta, aplicado de ambos os lados da porta, com batente colado. Com todos os trabalhos de montagem e vedantes necessários, de acordo com o preconizado nas peças desenhadas e escritas de projeto.</t>
  </si>
  <si>
    <t>Fornecimento e aplicação de divisória de duche Italbox Frame PV90 135 H235 vidro 8mm, na cor preta com rasgo retangular com cantos arredondados  para ventilação na porta, centrado na porta, com 44x6cm, afastado 17cm do topo da porta (conforme executado em MUR). Com dimensões a confirmar no local e altura até ao teto.  Inclui puxador Italbox DS2025 na cor preta, aplicado de ambos os lados da porta, com batente colado. Com todos os trabalhos de montagem e vedantes necessários, de acordo com o preconizado nas peças desenhadas e escritas de projeto.</t>
  </si>
  <si>
    <t>Fornecimento e aplicação de divisória de duche Italbox Frame PV90 90 H235 vidro 8mm, na cor preta com rasgo retangular com cantos arredondados  para ventilação na porta, centrado na porta, com 44x6cm, afastado 17cm do topo da porta (conforme executado em MUR). Com dimensões a confirmar no local e altura até ao teto.  Inclui puxador Italbox DS2025 na cor preta, aplicado de ambos os lados da porta, com batente colado. Com todos os trabalhos de montagem e vedantes necessários, de acordo com o preconizado nas peças desenhadas e escritas de projeto.</t>
  </si>
  <si>
    <t>Fornecimento e colocação de vão de porta interior corta-fogo e acustica tipo "Portaro" EI30 Ac33dB da Vicaima, de 1 folha, de batente, com barra de calafetagem para desempenho acústico de 33dB. Acabamento Naturdor Nogueira figurado mate poro aberto, Dimensões 2100x930mm (a confirmar no local). Inclui sensor de porta com fio, incluindo magnético com cabo e tecnologia sensor magnético + íman à cor preta da Assa Abloy. Maquinação da porta para fornecimento e montagem de fechadura Assa Abloy VingCard ESSENCE RFID BLE composta por um Conjunto de puxadores wing, leitor de proximidade e caixa de fechadura ANSI (confirmar com especialidades - fechadura e puxadores não incluídos),  mola recuperadora oculta JNF 21.801, óculo std instalado a 150cm de altura, acabamento escovado preto,  fornecimento e instalação de um fecho limitador de segurança JNF Ref. IN.17.210.TB com acabamento PVD Titanium Black, borrachas e dobradiças pretas, certificado do produto, e tudo o demais necessário para o seu correto funcionamento. Com todos os trabalhos e materiais necessários para uma boa execução e de acordo com recomendações do fabricante e mapa de vãos, de acordo com o preconizado nas peças desenhadas e escritas de projeto. (porta de entrada de quartos)</t>
  </si>
  <si>
    <t>Braços de conexão de tecto para duche HANSGROHE S 100mm, acabamento cromado, Ref.ª 27393000 (Conforme projeto de Interior Design. A confirmar com amostra no local). Inclui todas as peças, fixações e remates necessários ao seu correcto funcionamento.</t>
  </si>
  <si>
    <t>Braços de conexão de tecto para duche HANSGROHE S 100mm, acabamento brushed black chrome, Ref.ª 27393340 (Conforme projeto de Interior Design. A confirmar com amostra no local). Inclui todas as peças, fixações e remates necessários ao seu correcto funcionamento.</t>
  </si>
  <si>
    <t>ÁGUAS/ESGOTOS</t>
  </si>
  <si>
    <t>EMPREITADA GERAL - ROLL OUT</t>
  </si>
  <si>
    <t>HOTEL MUNDIAL - LISBOA - EMPREITADA DE REMODELAÇÃO INTERIOR - ROLL OUT</t>
  </si>
  <si>
    <t>AGUAS - Quartos Alas 1, 2 e 3</t>
  </si>
  <si>
    <t>Em todos os artigos que constam neste Mapa de Quantidades, consideram-se incluídos nos preços unitários a apresentar, a totalidade dos trabalhos de apoio de construção civil e outros preparatórios e complementares, de modo a garantir o perfeito funcionamento das instalações respectivas. Consideram-se ainda incluidos nos preços unitários os respectivos ensaios, vistorias e certificações, nos termos das normas e regulamentação aplicável.</t>
  </si>
  <si>
    <t>QUARTOS TIPO 1</t>
  </si>
  <si>
    <t>Tubagem</t>
  </si>
  <si>
    <t>Fornecimento e montagem de tubo tricomposto (PEAD/ALU./PEX) e respectivos acessórios, PN10, destinado à rede de água fria, embebido em paredes ou exteriormente à vista em tectos ou paredes, incluindo abertura e tapamento de roços ou fixação com braçadeiras do tipo Isofix ou equivalente e todos os acessórios e trabalhos necessários de acordo com as peças desenhadas e o caderno de encargos, com o(s) diâmetro(s):</t>
  </si>
  <si>
    <t>Ø 16</t>
  </si>
  <si>
    <t>Ø 20</t>
  </si>
  <si>
    <t>Acessórios</t>
  </si>
  <si>
    <t>Fornecimento e montagem de válvula de seccionamento tipo globo (torneira de passagem), cromada, PN10, destinada à rede de água fria, instalada em roço, incluindo abertura e tapamento de roços de acordo as peças desenhadas e o caderno de encargos, com os diâmetro(s):</t>
  </si>
  <si>
    <t>2.1.1</t>
  </si>
  <si>
    <t>Para Diâmetro Ø 20</t>
  </si>
  <si>
    <t>Fornecimento e montagem de válvula de macho esférico, PN10, destinada à rede de água fria, aplicada de acordo com as peças desenhadas e o caderno de encargos, com o(s) diâmetro(s):</t>
  </si>
  <si>
    <t>2.2.1</t>
  </si>
  <si>
    <t>DN25 (para Diâmetros Ø 26 e Ø 32)</t>
  </si>
  <si>
    <t>REDE DE ÁGUA QUENTE</t>
  </si>
  <si>
    <t>Fornecimento e montagem de tubo tricomposto (PEAD/ALU./PEX) e respectivos acessórios, PN10, destinada à rede de água quente, embebido em roço à vista ou em tecto falso, isolado termicamente com manga de espuma de borracha incluindo abertura e tapamento de roços e todos os acessórios e trabalhos necessários de acordo com as peças desenhadas e o caderno de encargos, com o(s) diâmetro(s):</t>
  </si>
  <si>
    <t>Fornecimento e colocação de isolamento térmico em conquilhas para rede de águas quentes, assente à vista e ou embebido nas paredes, para os diâmetros abaixo indicados, incluindo todos os acessórios, trabalhos e materiais de aplicação necessários.
-Tipo: "SH/Armaflex" ou equivalente
-Espessura: 20mm</t>
  </si>
  <si>
    <t>Incluidos os acessorios de ligacao da rede de agua quente e fria do quarto a rede existente nas zons comuns.</t>
  </si>
  <si>
    <t>Fornecimento e assentamento de torneira de esquadro com filtro, para corte aos aparelhos, incluindo colocação de vedação por interposição de material adequado que não fita teflon, tudo devidamente assente e ligado.
-Tipo: Conforme projecto (Lavatorio e Sanita)</t>
  </si>
  <si>
    <t>-Dimensões: 3/8x1/2"</t>
  </si>
  <si>
    <t>Fornecimento e assentamento de válvulas de retenção ou anti-retorno, com juntas roscadas nas ligações às tubagens a montante e a jusante, incluindo todos os acessórios necessários para a execução das ligações. Tudo devidamente executado por pessoal especializado e de acordo com especificações do fabricante.</t>
  </si>
  <si>
    <t>-Diâmetro: Ø 26mm</t>
  </si>
  <si>
    <t>Ligação ao ponto de entrega do centro, incluindo todos os trabalhos e acessórios necessários</t>
  </si>
  <si>
    <t>Ensaio das Redes e de Equipamentos.</t>
  </si>
  <si>
    <t>Elaboração e entrega de Telas Finais</t>
  </si>
  <si>
    <t>D</t>
  </si>
  <si>
    <t>ESGOTOS - Quartos alas 1, 2 e 3</t>
  </si>
  <si>
    <t>Devem ser garantidos e incluidos todos os trabalhos de previstos no projeto de segurança, para assegurar a compartimentação corta fogo entre os diversos locais de risco.</t>
  </si>
  <si>
    <t xml:space="preserve">QUARTOS TIPO 1 </t>
  </si>
  <si>
    <t>Tubagens</t>
  </si>
  <si>
    <t>Fornecimento e instalação de tubagem de PVC-U de parede compacta (marcação “B”) classe 10kg/m2 em rede interior, incluindo proteções em zonas de atravessamentos de pavimentos, abertura e tapamento de roços, acessórios de fixação/suspensão, ligação e união, remates e trabalhos complementares, tudo de acordo com peças escritas, desenhadas e condições no local e para os seguintes diâmetros:</t>
  </si>
  <si>
    <t>Ø50</t>
  </si>
  <si>
    <t>Ø90</t>
  </si>
  <si>
    <t>Fornecimento e colocação de Bocas de Limpeza em PVC-U rígido, de acordo com norma EN 1329-1, com juntas autoblocantes, embebidos no pavimento, em roço, à vista e ou em courete técnica, assentes e ligados aos aparelhos e às caixas de recepção de esgoto, incluindo abertura e tapamento de roços, bem como todos os acessórios (forquilhas, cones de redução, anéis de neoprene e juntas), todas as fixações necessárias, bem como remoção de materiais sobrantes a vazadouro, envolvimento da tubagem com areia do rio isenta de pedras, torrões, raízes e salitre. Tudo devidamente executado por pessoal especializado.
Inclui ainda a execução de todos os ensaios de acordo com a legislação em vigor.
-Tipo: Conforme projecto
-Série: B
-PN: Conforme projecto</t>
  </si>
  <si>
    <t>A verificar no Local com a instalacao existente</t>
  </si>
  <si>
    <t>Fornecimento e montagem de sifão de aparelho DN50, incluindo todos os trabalhos necessários, de acordo com os desenhos de pormenor e o caderno de encargos com diâmetro 50 mm</t>
  </si>
  <si>
    <t xml:space="preserve">Fornecimento e montagem de sifão de garrafa em lavatório, incluindo todos os trabalhos necessários, de acordo com os desenhos de pormenor e o caderno de encargos com os seguintes diâmetros: </t>
  </si>
  <si>
    <t>Ø 50</t>
  </si>
  <si>
    <t>Fornecimento e assentamento de válvula de admissão de ar DN50 incluindo todos os acessórios e trabalhos necessários, de acordo com os desenhos de pormenor e o caderno de encargos</t>
  </si>
  <si>
    <t>Execução de ligações à rede existente, incluindo todos os acessórios e trabalhos necessários</t>
  </si>
  <si>
    <t>AGUAS - Quartos Ala 4</t>
  </si>
  <si>
    <t>Fornecimento e montagem de tubo tipo PEX identico ao existente ou reaproveitando os tubos existentes se possivel e respectivos acessórios, PN10, destinado à rede de água fria, embebido em paredes ou exteriormente à vista em tectos ou paredes, incluindo abertura e tapamento de roços ou fixação com braçadeiras do tipo Isofix ou equivalente e todos os acessórios e trabalhos necessários de acordo com as peças desenhadas e o caderno de encargos, com o(s) diâmetro(s):</t>
  </si>
  <si>
    <t>Fornecimento e montagem de tubo tipo PEX identico ao existente ou reaproveitando os tubos existentes se possivel e respectivos acessórios, PN10, destinado à rede de água quente, embebido em paredes ou exteriormente à vista em tectos ou paredes, incluindo abertura e tapamento de roços ou fixação com braçadeiras do tipo Isofix ou equivalente e todos os acessórios e trabalhos necessários de acordo com as peças desenhadas e o caderno de encargos, com o(s) diâmetro(s):</t>
  </si>
  <si>
    <t>ESGOTOS - Quartos Ala 4</t>
  </si>
  <si>
    <t>Fornecimento e instalação de tubagem de PVC-U de parede compacta (marcação “B”) classe 10kg/m2 em rede interior, incluindo proteções em zonas de atravessamentos de pavimentos, abertura e tapamento de roços, acessórios de fixação/suspensão, ligação e união, remates e trabalhos complementares, inclui ligacoes necesssarias aos pisos inferiores em metalite, em carote se necessario, tudo de acordo com peças escritas, desenhadas e condições no local e para os seguintes diâmetros:</t>
  </si>
  <si>
    <t>REDES HIDRÁULICAS</t>
  </si>
  <si>
    <t>D.1</t>
  </si>
  <si>
    <t>QUARTOS TIPO 2</t>
  </si>
  <si>
    <t>TOTAL TIPO I, ALA 4</t>
  </si>
  <si>
    <t>TOTAL TIPO 2, ALAS 1, 2, 3 - 41 UNIDADES</t>
  </si>
  <si>
    <t>TOTAL TIPO I, ALA 4 - 99 UNIDADES</t>
  </si>
  <si>
    <t xml:space="preserve">TOTAL TIPO I, ALA 1, 2 E 3 </t>
  </si>
  <si>
    <t>TOTAL TIPO I, ALA 1, 2 E 3 - 144 UNIDADES</t>
  </si>
  <si>
    <t>3.30.9.3</t>
  </si>
  <si>
    <t>3.29.9.3</t>
  </si>
  <si>
    <t>Agregar ao armário do carretel existente um armário de extintor com a mesma altura e profundidade, ambos pintados à cor NCS 2005 Y30R</t>
  </si>
  <si>
    <t>3.28.9.3</t>
  </si>
  <si>
    <t>3.27.9.3</t>
  </si>
  <si>
    <t>3.26.9.3</t>
  </si>
  <si>
    <t>3.25.9.3</t>
  </si>
  <si>
    <t>3.24.9.3</t>
  </si>
  <si>
    <t>3.23.9.3</t>
  </si>
  <si>
    <t>3.22.9.3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</si>
</sst>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 #,##0.00\ &quot;€&quot;_-;\-* #,##0.00\ &quot;€&quot;_-;_-* &quot;-&quot;??\ &quot;€&quot;_-;_-@_-"/>
    <numFmt numFmtId="164" formatCode="#,##0.00\ [$€-1]"/>
    <numFmt numFmtId="165" formatCode="_-* #,##0.00\ [$€-1]_-;\-* #,##0.00\ [$€-1]_-;_-* &quot;-&quot;??\ [$€-1]_-"/>
    <numFmt numFmtId="166" formatCode="#,##0\ &quot;Esc.&quot;;\-#,##0\ &quot;Esc.&quot;"/>
    <numFmt numFmtId="167" formatCode="mmmm\ d\,\ yyyy"/>
    <numFmt numFmtId="168" formatCode="_-* #,##0.00\ [$€]_-;\-* #,##0.00\ [$€]_-;_-* &quot;-&quot;??\ [$€]_-;_-@_-"/>
    <numFmt numFmtId="169" formatCode="_ * #,##0.00_)\ _E_s_c_._ ;_ * \(#,##0.00\)\ _E_s_c_._ ;_ * &quot;-&quot;??_)\ _E_s_c_._ ;_ @_ "/>
  </numFmts>
  <fonts count="77">
    <font>
      <sz val="11"/>
      <color theme="1"/>
      <name val="Calibri"/>
      <family val="2"/>
      <scheme val="minor"/>
    </font>
    <font>
      <sz val="10"/>
      <name val="Arial"/>
      <family val="2"/>
    </font>
    <font>
      <sz val="11"/>
      <color theme="1"/>
      <name val="Calibri"/>
      <family val="2"/>
      <scheme val="minor"/>
    </font>
    <font>
      <sz val="10"/>
      <name val="Times New Roman"/>
      <family val="1"/>
    </font>
    <font>
      <sz val="10"/>
      <name val="MS Sans Serif"/>
      <family val="2"/>
    </font>
    <font>
      <sz val="10"/>
      <name val="Futura Bk BT"/>
      <family val="2"/>
    </font>
    <font>
      <sz val="10"/>
      <name val="Arial"/>
      <family val="2"/>
    </font>
    <font>
      <sz val="9"/>
      <name val="Humanist777BT"/>
    </font>
    <font>
      <b/>
      <sz val="9"/>
      <name val="Humanist777BT"/>
    </font>
    <font>
      <sz val="9"/>
      <color rgb="FF0070C0"/>
      <name val="Humanist777BT"/>
    </font>
    <font>
      <sz val="10"/>
      <name val="Humanist777BT"/>
    </font>
    <font>
      <b/>
      <sz val="10"/>
      <name val="Humanist777BT"/>
    </font>
    <font>
      <sz val="12"/>
      <name val="Humanist777BT"/>
    </font>
    <font>
      <b/>
      <sz val="14"/>
      <color indexed="9"/>
      <name val="Humanist777BT"/>
    </font>
    <font>
      <sz val="10"/>
      <name val="Helv"/>
      <charset val="204"/>
    </font>
    <font>
      <sz val="9"/>
      <color indexed="8"/>
      <name val="Humanist777BT"/>
    </font>
    <font>
      <i/>
      <sz val="9"/>
      <name val="Humanist777BT"/>
    </font>
    <font>
      <sz val="12"/>
      <name val="Times New Roman"/>
      <family val="1"/>
    </font>
    <font>
      <sz val="11"/>
      <color indexed="8"/>
      <name val="Calibri"/>
      <family val="2"/>
    </font>
    <font>
      <sz val="11"/>
      <color indexed="9"/>
      <name val="Calibri"/>
      <family val="2"/>
    </font>
    <font>
      <sz val="11"/>
      <color indexed="20"/>
      <name val="Calibri"/>
      <family val="2"/>
    </font>
    <font>
      <b/>
      <sz val="9"/>
      <name val="Century Gothic"/>
      <family val="2"/>
    </font>
    <font>
      <b/>
      <sz val="11"/>
      <color indexed="52"/>
      <name val="Calibri"/>
      <family val="2"/>
    </font>
    <font>
      <b/>
      <sz val="11"/>
      <color indexed="9"/>
      <name val="Calibri"/>
      <family val="2"/>
    </font>
    <font>
      <sz val="10"/>
      <name val="Helv"/>
    </font>
    <font>
      <i/>
      <sz val="11"/>
      <color indexed="23"/>
      <name val="Calibri"/>
      <family val="2"/>
    </font>
    <font>
      <sz val="11"/>
      <color indexed="17"/>
      <name val="Calibri"/>
      <family val="2"/>
    </font>
    <font>
      <b/>
      <sz val="15"/>
      <color indexed="56"/>
      <name val="Calibri"/>
      <family val="2"/>
    </font>
    <font>
      <b/>
      <sz val="18"/>
      <name val="Arial"/>
      <family val="2"/>
    </font>
    <font>
      <b/>
      <sz val="13"/>
      <color indexed="56"/>
      <name val="Calibri"/>
      <family val="2"/>
    </font>
    <font>
      <b/>
      <sz val="12"/>
      <name val="Arial"/>
      <family val="2"/>
    </font>
    <font>
      <b/>
      <sz val="11"/>
      <color indexed="56"/>
      <name val="Calibri"/>
      <family val="2"/>
    </font>
    <font>
      <sz val="11"/>
      <color indexed="62"/>
      <name val="Calibri"/>
      <family val="2"/>
    </font>
    <font>
      <sz val="9"/>
      <name val="Century Gothic"/>
      <family val="2"/>
    </font>
    <font>
      <sz val="11"/>
      <color indexed="52"/>
      <name val="Calibri"/>
      <family val="2"/>
    </font>
    <font>
      <sz val="11"/>
      <color indexed="60"/>
      <name val="Calibri"/>
      <family val="2"/>
    </font>
    <font>
      <b/>
      <sz val="11"/>
      <color indexed="63"/>
      <name val="Calibri"/>
      <family val="2"/>
    </font>
    <font>
      <b/>
      <sz val="18"/>
      <color indexed="56"/>
      <name val="Cambria"/>
      <family val="2"/>
    </font>
    <font>
      <sz val="11"/>
      <color indexed="10"/>
      <name val="Calibri"/>
      <family val="2"/>
    </font>
    <font>
      <b/>
      <sz val="11"/>
      <color theme="1"/>
      <name val="Humanist777BT"/>
    </font>
    <font>
      <sz val="11"/>
      <color theme="1"/>
      <name val="Humanist777BT"/>
    </font>
    <font>
      <sz val="10"/>
      <name val="Calibri"/>
      <family val="2"/>
      <scheme val="minor"/>
    </font>
    <font>
      <b/>
      <sz val="11"/>
      <name val="Calibri"/>
      <family val="2"/>
    </font>
    <font>
      <sz val="11"/>
      <name val="Calibri"/>
      <family val="2"/>
    </font>
    <font>
      <b/>
      <sz val="10"/>
      <name val="Calibri"/>
      <family val="2"/>
    </font>
    <font>
      <sz val="10"/>
      <name val="Calibri"/>
      <family val="2"/>
    </font>
    <font>
      <b/>
      <sz val="10"/>
      <name val="Arial"/>
      <family val="2"/>
    </font>
    <font>
      <sz val="10"/>
      <name val="MS Sans Serif"/>
    </font>
    <font>
      <b/>
      <sz val="11"/>
      <name val="Humanist777BT"/>
    </font>
    <font>
      <sz val="11"/>
      <name val="Humanist777BT"/>
    </font>
    <font>
      <sz val="8"/>
      <name val="Calibri"/>
      <family val="2"/>
      <scheme val="minor"/>
    </font>
    <font>
      <b/>
      <sz val="10"/>
      <color theme="1"/>
      <name val="Calibri"/>
      <family val="2"/>
    </font>
    <font>
      <sz val="10"/>
      <color theme="1"/>
      <name val="Calibri"/>
      <family val="2"/>
    </font>
    <font>
      <sz val="10"/>
      <color theme="3"/>
      <name val="Humanist777BT"/>
    </font>
    <font>
      <sz val="12"/>
      <color theme="3"/>
      <name val="Humanist777BT"/>
    </font>
    <font>
      <sz val="9"/>
      <color theme="3"/>
      <name val="Humanist777BT"/>
    </font>
    <font>
      <b/>
      <sz val="9"/>
      <color theme="3"/>
      <name val="Humanist777BT"/>
    </font>
    <font>
      <sz val="10"/>
      <color theme="3"/>
      <name val="Calibri"/>
      <family val="2"/>
    </font>
    <font>
      <sz val="10"/>
      <color theme="3"/>
      <name val="Arial"/>
      <family val="2"/>
    </font>
    <font>
      <b/>
      <sz val="10"/>
      <color theme="4" tint="-0.249977111117893"/>
      <name val="Humanist777BT"/>
    </font>
    <font>
      <sz val="8"/>
      <name val="Humanist777BT"/>
    </font>
    <font>
      <sz val="8"/>
      <color rgb="FF3B3B3B"/>
      <name val="Montserrat"/>
    </font>
    <font>
      <sz val="10"/>
      <color rgb="FFFF0000"/>
      <name val="Calibri"/>
      <family val="2"/>
    </font>
    <font>
      <sz val="10"/>
      <color rgb="FF000000"/>
      <name val="Calibri"/>
      <family val="2"/>
    </font>
    <font>
      <b/>
      <sz val="10"/>
      <color rgb="FFFF0000"/>
      <name val="Calibri"/>
      <family val="2"/>
    </font>
    <font>
      <sz val="9"/>
      <color rgb="FFFF0000"/>
      <name val="Humanist777BT"/>
    </font>
    <font>
      <b/>
      <sz val="10"/>
      <color rgb="FF000000"/>
      <name val="Calibri"/>
      <family val="2"/>
    </font>
    <font>
      <b/>
      <sz val="9"/>
      <color rgb="FF000000"/>
      <name val="Humanist777BT"/>
    </font>
    <font>
      <sz val="9"/>
      <color rgb="FF000000"/>
      <name val="Humanist777BT"/>
    </font>
    <font>
      <sz val="11"/>
      <color rgb="FF000000"/>
      <name val="Humanist777BT"/>
    </font>
    <font>
      <sz val="10"/>
      <color rgb="FF000000"/>
      <name val="Arial"/>
      <family val="2"/>
    </font>
    <font>
      <sz val="10"/>
      <color rgb="FF000000"/>
      <name val="Calibri"/>
      <family val="2"/>
    </font>
    <font>
      <sz val="10"/>
      <name val="Calibri"/>
      <family val="2"/>
    </font>
    <font>
      <b/>
      <sz val="10"/>
      <color rgb="FF000000"/>
      <name val="Calibri"/>
      <family val="2"/>
    </font>
    <font>
      <b/>
      <sz val="10"/>
      <name val="Calibri"/>
      <family val="2"/>
    </font>
    <font>
      <sz val="10"/>
      <color theme="1"/>
      <name val="Calibri"/>
      <family val="2"/>
    </font>
    <font>
      <b/>
      <sz val="11"/>
      <color theme="1"/>
      <name val="Calibri"/>
      <family val="2"/>
      <scheme val="minor"/>
    </font>
  </fonts>
  <fills count="31">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theme="0" tint="-0.249977111117893"/>
        <bgColor indexed="64"/>
      </patternFill>
    </fill>
    <fill>
      <patternFill patternType="solid">
        <fgColor indexed="2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rgb="FFFFFFBD"/>
        <bgColor indexed="64"/>
      </patternFill>
    </fill>
    <fill>
      <patternFill patternType="solid">
        <fgColor theme="4" tint="0.79998168889431442"/>
        <bgColor indexed="64"/>
      </patternFill>
    </fill>
    <fill>
      <patternFill patternType="solid">
        <fgColor theme="8" tint="0.79998168889431442"/>
        <bgColor indexed="64"/>
      </patternFill>
    </fill>
  </fills>
  <borders count="17">
    <border>
      <left/>
      <right/>
      <top/>
      <bottom/>
      <diagonal/>
    </border>
    <border>
      <left/>
      <right style="thin">
        <color indexed="9"/>
      </right>
      <top/>
      <bottom/>
      <diagonal/>
    </border>
    <border>
      <left style="thin">
        <color indexed="9"/>
      </left>
      <right style="thin">
        <color indexed="9"/>
      </right>
      <top/>
      <bottom/>
      <diagonal/>
    </border>
    <border>
      <left style="thin">
        <color indexed="9"/>
      </left>
      <right/>
      <top/>
      <bottom/>
      <diagonal/>
    </border>
    <border>
      <left/>
      <right style="medium">
        <color indexed="9"/>
      </right>
      <top/>
      <bottom/>
      <diagonal/>
    </border>
    <border>
      <left style="medium">
        <color indexed="9"/>
      </left>
      <right style="medium">
        <color indexed="9"/>
      </right>
      <top/>
      <bottom/>
      <diagonal/>
    </border>
    <border>
      <left style="medium">
        <color indexed="9"/>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double">
        <color indexed="64"/>
      </top>
      <bottom/>
      <diagonal/>
    </border>
    <border>
      <left style="hair">
        <color indexed="64"/>
      </left>
      <right style="hair">
        <color indexed="64"/>
      </right>
      <top/>
      <bottom/>
      <diagonal/>
    </border>
  </borders>
  <cellStyleXfs count="110">
    <xf numFmtId="0" fontId="0" fillId="0" borderId="0"/>
    <xf numFmtId="0" fontId="1" fillId="0" borderId="0"/>
    <xf numFmtId="0" fontId="3" fillId="0" borderId="0"/>
    <xf numFmtId="0" fontId="1" fillId="0" borderId="0"/>
    <xf numFmtId="0" fontId="1" fillId="0" borderId="0"/>
    <xf numFmtId="0" fontId="4" fillId="0" borderId="0"/>
    <xf numFmtId="0" fontId="1" fillId="0" borderId="0"/>
    <xf numFmtId="0" fontId="1" fillId="0" borderId="0"/>
    <xf numFmtId="0" fontId="5" fillId="0" borderId="0"/>
    <xf numFmtId="0" fontId="4" fillId="0" borderId="0"/>
    <xf numFmtId="0" fontId="4" fillId="0" borderId="0"/>
    <xf numFmtId="0" fontId="2" fillId="0" borderId="0"/>
    <xf numFmtId="0" fontId="1" fillId="0" borderId="0"/>
    <xf numFmtId="0" fontId="4" fillId="0" borderId="0"/>
    <xf numFmtId="0" fontId="1" fillId="0" borderId="0"/>
    <xf numFmtId="0" fontId="4" fillId="0" borderId="0"/>
    <xf numFmtId="0" fontId="4" fillId="0" borderId="0"/>
    <xf numFmtId="164" fontId="1" fillId="0" borderId="0"/>
    <xf numFmtId="0" fontId="4" fillId="0" borderId="0"/>
    <xf numFmtId="0" fontId="4" fillId="0" borderId="0"/>
    <xf numFmtId="0" fontId="1" fillId="0" borderId="0"/>
    <xf numFmtId="0" fontId="4" fillId="0" borderId="0"/>
    <xf numFmtId="0" fontId="1" fillId="0" borderId="0"/>
    <xf numFmtId="0" fontId="6" fillId="0" borderId="0"/>
    <xf numFmtId="44" fontId="6" fillId="0" borderId="0" applyFont="0" applyFill="0" applyBorder="0" applyAlignment="0" applyProtection="0"/>
    <xf numFmtId="0" fontId="1" fillId="0" borderId="0"/>
    <xf numFmtId="44" fontId="1" fillId="0" borderId="0" applyFont="0" applyFill="0" applyBorder="0" applyAlignment="0" applyProtection="0"/>
    <xf numFmtId="44" fontId="1" fillId="0" borderId="0" applyFill="0" applyBorder="0" applyAlignment="0" applyProtection="0"/>
    <xf numFmtId="165" fontId="1" fillId="0" borderId="0" applyFont="0" applyFill="0" applyBorder="0" applyAlignment="0" applyProtection="0"/>
    <xf numFmtId="0" fontId="14" fillId="0" borderId="0"/>
    <xf numFmtId="0" fontId="1" fillId="0" borderId="0"/>
    <xf numFmtId="0" fontId="1" fillId="0" borderId="0"/>
    <xf numFmtId="0" fontId="17" fillId="0" borderId="0"/>
    <xf numFmtId="0" fontId="14" fillId="0" borderId="0"/>
    <xf numFmtId="0" fontId="17" fillId="0" borderId="0"/>
    <xf numFmtId="0" fontId="14" fillId="0" borderId="0"/>
    <xf numFmtId="0" fontId="17" fillId="0" borderId="0"/>
    <xf numFmtId="0" fontId="17" fillId="0" borderId="0"/>
    <xf numFmtId="0" fontId="17" fillId="0" borderId="0"/>
    <xf numFmtId="0" fontId="1" fillId="0" borderId="0"/>
    <xf numFmtId="0" fontId="14" fillId="0" borderId="0"/>
    <xf numFmtId="0" fontId="14" fillId="0" borderId="0"/>
    <xf numFmtId="0" fontId="1" fillId="0" borderId="0"/>
    <xf numFmtId="0" fontId="1" fillId="0" borderId="0"/>
    <xf numFmtId="0" fontId="1" fillId="0" borderId="0"/>
    <xf numFmtId="0" fontId="1" fillId="0" borderId="0"/>
    <xf numFmtId="0" fontId="18" fillId="6" borderId="0" applyNumberFormat="0" applyBorder="0" applyAlignment="0" applyProtection="0"/>
    <xf numFmtId="0" fontId="18" fillId="7" borderId="0" applyNumberFormat="0" applyBorder="0" applyAlignment="0" applyProtection="0"/>
    <xf numFmtId="0" fontId="18" fillId="8" borderId="0" applyNumberFormat="0" applyBorder="0" applyAlignment="0" applyProtection="0"/>
    <xf numFmtId="0" fontId="18" fillId="9" borderId="0" applyNumberFormat="0" applyBorder="0" applyAlignment="0" applyProtection="0"/>
    <xf numFmtId="0" fontId="18" fillId="10" borderId="0" applyNumberFormat="0" applyBorder="0" applyAlignment="0" applyProtection="0"/>
    <xf numFmtId="0" fontId="18" fillId="11" borderId="0" applyNumberFormat="0" applyBorder="0" applyAlignment="0" applyProtection="0"/>
    <xf numFmtId="0" fontId="18" fillId="12" borderId="0" applyNumberFormat="0" applyBorder="0" applyAlignment="0" applyProtection="0"/>
    <xf numFmtId="0" fontId="18" fillId="13" borderId="0" applyNumberFormat="0" applyBorder="0" applyAlignment="0" applyProtection="0"/>
    <xf numFmtId="0" fontId="18" fillId="14" borderId="0" applyNumberFormat="0" applyBorder="0" applyAlignment="0" applyProtection="0"/>
    <xf numFmtId="0" fontId="18" fillId="9" borderId="0" applyNumberFormat="0" applyBorder="0" applyAlignment="0" applyProtection="0"/>
    <xf numFmtId="0" fontId="18" fillId="12" borderId="0" applyNumberFormat="0" applyBorder="0" applyAlignment="0" applyProtection="0"/>
    <xf numFmtId="0" fontId="18" fillId="15" borderId="0" applyNumberFormat="0" applyBorder="0" applyAlignment="0" applyProtection="0"/>
    <xf numFmtId="0" fontId="19" fillId="16"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19" fillId="17" borderId="0" applyNumberFormat="0" applyBorder="0" applyAlignment="0" applyProtection="0"/>
    <xf numFmtId="0" fontId="19" fillId="18" borderId="0" applyNumberFormat="0" applyBorder="0" applyAlignment="0" applyProtection="0"/>
    <xf numFmtId="0" fontId="19" fillId="19" borderId="0" applyNumberFormat="0" applyBorder="0" applyAlignment="0" applyProtection="0"/>
    <xf numFmtId="0" fontId="19" fillId="20" borderId="0" applyNumberFormat="0" applyBorder="0" applyAlignment="0" applyProtection="0"/>
    <xf numFmtId="0" fontId="19" fillId="21" borderId="0" applyNumberFormat="0" applyBorder="0" applyAlignment="0" applyProtection="0"/>
    <xf numFmtId="0" fontId="19" fillId="22" borderId="0" applyNumberFormat="0" applyBorder="0" applyAlignment="0" applyProtection="0"/>
    <xf numFmtId="0" fontId="19" fillId="17" borderId="0" applyNumberFormat="0" applyBorder="0" applyAlignment="0" applyProtection="0"/>
    <xf numFmtId="0" fontId="19" fillId="18" borderId="0" applyNumberFormat="0" applyBorder="0" applyAlignment="0" applyProtection="0"/>
    <xf numFmtId="0" fontId="19" fillId="23" borderId="0" applyNumberFormat="0" applyBorder="0" applyAlignment="0" applyProtection="0"/>
    <xf numFmtId="0" fontId="20" fillId="7" borderId="0" applyNumberFormat="0" applyBorder="0" applyAlignment="0" applyProtection="0"/>
    <xf numFmtId="49" fontId="21" fillId="0" borderId="0">
      <alignment horizontal="center" vertical="top"/>
    </xf>
    <xf numFmtId="0" fontId="21" fillId="0" borderId="0">
      <alignment vertical="top" wrapText="1"/>
    </xf>
    <xf numFmtId="0" fontId="22" fillId="24" borderId="7" applyNumberFormat="0" applyAlignment="0" applyProtection="0"/>
    <xf numFmtId="0" fontId="23" fillId="25" borderId="8" applyNumberFormat="0" applyAlignment="0" applyProtection="0"/>
    <xf numFmtId="3" fontId="1" fillId="0" borderId="0" applyFill="0" applyBorder="0" applyAlignment="0" applyProtection="0"/>
    <xf numFmtId="166" fontId="1" fillId="0" borderId="0" applyFill="0" applyBorder="0" applyAlignment="0" applyProtection="0"/>
    <xf numFmtId="167" fontId="1" fillId="0" borderId="0" applyFill="0" applyBorder="0" applyAlignment="0" applyProtection="0"/>
    <xf numFmtId="0" fontId="14" fillId="0" borderId="0"/>
    <xf numFmtId="0" fontId="24" fillId="0" borderId="0"/>
    <xf numFmtId="168" fontId="1" fillId="0" borderId="0" applyFont="0" applyFill="0" applyBorder="0" applyAlignment="0" applyProtection="0"/>
    <xf numFmtId="44" fontId="1" fillId="0" borderId="0" applyFont="0" applyFill="0" applyBorder="0" applyAlignment="0" applyProtection="0"/>
    <xf numFmtId="0" fontId="25" fillId="0" borderId="0" applyNumberFormat="0" applyFill="0" applyBorder="0" applyAlignment="0" applyProtection="0"/>
    <xf numFmtId="2" fontId="1" fillId="0" borderId="0" applyFill="0" applyBorder="0" applyAlignment="0" applyProtection="0"/>
    <xf numFmtId="0" fontId="26" fillId="8" borderId="0" applyNumberFormat="0" applyBorder="0" applyAlignment="0" applyProtection="0"/>
    <xf numFmtId="0" fontId="27" fillId="0" borderId="9" applyNumberFormat="0" applyFill="0" applyAlignment="0" applyProtection="0"/>
    <xf numFmtId="0" fontId="28" fillId="0" borderId="0" applyNumberFormat="0" applyFill="0" applyBorder="0" applyAlignment="0" applyProtection="0"/>
    <xf numFmtId="0" fontId="29" fillId="0" borderId="10" applyNumberFormat="0" applyFill="0" applyAlignment="0" applyProtection="0"/>
    <xf numFmtId="0" fontId="30" fillId="0" borderId="0" applyNumberFormat="0" applyFill="0" applyBorder="0" applyAlignment="0" applyProtection="0"/>
    <xf numFmtId="0" fontId="31" fillId="0" borderId="11" applyNumberFormat="0" applyFill="0" applyAlignment="0" applyProtection="0"/>
    <xf numFmtId="0" fontId="31" fillId="0" borderId="0" applyNumberFormat="0" applyFill="0" applyBorder="0" applyAlignment="0" applyProtection="0"/>
    <xf numFmtId="0" fontId="32" fillId="11" borderId="7" applyNumberFormat="0" applyAlignment="0" applyProtection="0"/>
    <xf numFmtId="0" fontId="33" fillId="0" borderId="0">
      <alignment horizontal="left" vertical="top" wrapText="1" indent="5"/>
    </xf>
    <xf numFmtId="0" fontId="33" fillId="0" borderId="0">
      <alignment horizontal="left" vertical="top" wrapText="1" indent="3"/>
    </xf>
    <xf numFmtId="0" fontId="34" fillId="0" borderId="12" applyNumberFormat="0" applyFill="0" applyAlignment="0" applyProtection="0"/>
    <xf numFmtId="0" fontId="35" fillId="26" borderId="0" applyNumberFormat="0" applyBorder="0" applyAlignment="0" applyProtection="0"/>
    <xf numFmtId="0" fontId="1" fillId="0" borderId="0"/>
    <xf numFmtId="49" fontId="33" fillId="0" borderId="0">
      <alignment horizontal="center" vertical="top"/>
    </xf>
    <xf numFmtId="0" fontId="33" fillId="0" borderId="0">
      <alignment vertical="top" wrapText="1"/>
    </xf>
    <xf numFmtId="4" fontId="33" fillId="0" borderId="0">
      <alignment horizontal="right"/>
    </xf>
    <xf numFmtId="1" fontId="33" fillId="0" borderId="0">
      <alignment horizontal="right"/>
    </xf>
    <xf numFmtId="0" fontId="33" fillId="0" borderId="0">
      <alignment horizontal="center"/>
    </xf>
    <xf numFmtId="0" fontId="1" fillId="27" borderId="13" applyNumberFormat="0" applyFont="0" applyAlignment="0" applyProtection="0"/>
    <xf numFmtId="0" fontId="36" fillId="24" borderId="14" applyNumberFormat="0" applyAlignment="0" applyProtection="0"/>
    <xf numFmtId="0" fontId="37" fillId="0" borderId="0" applyNumberFormat="0" applyFill="0" applyBorder="0" applyAlignment="0" applyProtection="0"/>
    <xf numFmtId="0" fontId="1" fillId="0" borderId="15" applyNumberFormat="0" applyFill="0" applyAlignment="0" applyProtection="0"/>
    <xf numFmtId="169" fontId="4" fillId="0" borderId="0" applyFont="0" applyFill="0" applyBorder="0" applyAlignment="0" applyProtection="0"/>
    <xf numFmtId="0" fontId="38" fillId="0" borderId="0" applyNumberFormat="0" applyFill="0" applyBorder="0" applyAlignment="0" applyProtection="0"/>
    <xf numFmtId="0" fontId="1" fillId="0" borderId="0" applyFont="0"/>
    <xf numFmtId="0" fontId="47" fillId="0" borderId="0"/>
  </cellStyleXfs>
  <cellXfs count="190">
    <xf numFmtId="0" fontId="0" fillId="0" borderId="0" xfId="0"/>
    <xf numFmtId="0" fontId="1" fillId="0" borderId="0" xfId="20"/>
    <xf numFmtId="0" fontId="10" fillId="0" borderId="0" xfId="20" applyFont="1"/>
    <xf numFmtId="0" fontId="7" fillId="0" borderId="0" xfId="20" applyFont="1"/>
    <xf numFmtId="164" fontId="7" fillId="0" borderId="0" xfId="20" applyNumberFormat="1" applyFont="1"/>
    <xf numFmtId="0" fontId="12" fillId="0" borderId="0" xfId="20" applyFont="1"/>
    <xf numFmtId="0" fontId="7" fillId="0" borderId="0" xfId="20" applyFont="1" applyAlignment="1">
      <alignment horizontal="center" vertical="top"/>
    </xf>
    <xf numFmtId="0" fontId="7" fillId="0" borderId="0" xfId="20" applyFont="1" applyAlignment="1">
      <alignment horizontal="justify" vertical="center" wrapText="1"/>
    </xf>
    <xf numFmtId="0" fontId="7" fillId="0" borderId="0" xfId="20" applyFont="1" applyAlignment="1">
      <alignment horizontal="center"/>
    </xf>
    <xf numFmtId="0" fontId="7" fillId="0" borderId="0" xfId="20" applyFont="1" applyAlignment="1">
      <alignment vertical="center"/>
    </xf>
    <xf numFmtId="0" fontId="8" fillId="0" borderId="0" xfId="20" applyFont="1" applyAlignment="1">
      <alignment horizontal="justify" vertical="center" wrapText="1"/>
    </xf>
    <xf numFmtId="0" fontId="7" fillId="0" borderId="0" xfId="20" applyFont="1" applyAlignment="1">
      <alignment horizontal="center" vertical="center"/>
    </xf>
    <xf numFmtId="4" fontId="7" fillId="0" borderId="0" xfId="20" applyNumberFormat="1" applyFont="1" applyAlignment="1">
      <alignment horizontal="center" vertical="center"/>
    </xf>
    <xf numFmtId="164" fontId="7" fillId="0" borderId="0" xfId="20" applyNumberFormat="1" applyFont="1" applyAlignment="1">
      <alignment vertical="center"/>
    </xf>
    <xf numFmtId="0" fontId="9" fillId="0" borderId="0" xfId="20" applyFont="1" applyAlignment="1">
      <alignment vertical="center"/>
    </xf>
    <xf numFmtId="0" fontId="7" fillId="4" borderId="0" xfId="20" applyFont="1" applyFill="1" applyAlignment="1">
      <alignment horizontal="center" vertical="center"/>
    </xf>
    <xf numFmtId="0" fontId="10" fillId="0" borderId="0" xfId="20" applyFont="1" applyAlignment="1">
      <alignment vertical="center"/>
    </xf>
    <xf numFmtId="0" fontId="8" fillId="0" borderId="1" xfId="20" applyFont="1" applyBorder="1" applyAlignment="1">
      <alignment horizontal="center" vertical="center" wrapText="1"/>
    </xf>
    <xf numFmtId="0" fontId="8" fillId="0" borderId="0" xfId="30" applyFont="1" applyAlignment="1">
      <alignment horizontal="right" vertical="center"/>
    </xf>
    <xf numFmtId="0" fontId="7" fillId="0" borderId="0" xfId="30" applyFont="1" applyAlignment="1">
      <alignment horizontal="justify" vertical="center" wrapText="1"/>
    </xf>
    <xf numFmtId="164" fontId="7" fillId="0" borderId="0" xfId="30" applyNumberFormat="1" applyFont="1" applyAlignment="1">
      <alignment vertical="center"/>
    </xf>
    <xf numFmtId="0" fontId="8" fillId="0" borderId="0" xfId="20" applyFont="1" applyAlignment="1">
      <alignment horizontal="center" vertical="top"/>
    </xf>
    <xf numFmtId="0" fontId="7" fillId="0" borderId="0" xfId="20" applyFont="1" applyAlignment="1">
      <alignment horizontal="justify" vertical="top" wrapText="1"/>
    </xf>
    <xf numFmtId="2" fontId="7" fillId="0" borderId="0" xfId="20" applyNumberFormat="1" applyFont="1" applyAlignment="1">
      <alignment horizontal="center"/>
    </xf>
    <xf numFmtId="164" fontId="15" fillId="0" borderId="0" xfId="20" applyNumberFormat="1" applyFont="1"/>
    <xf numFmtId="0" fontId="7" fillId="0" borderId="0" xfId="31" applyFont="1"/>
    <xf numFmtId="0" fontId="8" fillId="0" borderId="0" xfId="31" applyFont="1" applyAlignment="1">
      <alignment horizontal="center" vertical="top"/>
    </xf>
    <xf numFmtId="0" fontId="8" fillId="0" borderId="0" xfId="31" applyFont="1" applyAlignment="1">
      <alignment horizontal="left" vertical="center" wrapText="1"/>
    </xf>
    <xf numFmtId="0" fontId="14" fillId="0" borderId="0" xfId="20" applyFont="1"/>
    <xf numFmtId="0" fontId="16" fillId="0" borderId="0" xfId="20" applyFont="1" applyAlignment="1">
      <alignment horizontal="center" vertical="top"/>
    </xf>
    <xf numFmtId="0" fontId="1" fillId="0" borderId="0" xfId="20" applyAlignment="1">
      <alignment horizontal="center" vertical="top"/>
    </xf>
    <xf numFmtId="0" fontId="1" fillId="0" borderId="0" xfId="20" applyAlignment="1">
      <alignment horizontal="justify" vertical="center" wrapText="1"/>
    </xf>
    <xf numFmtId="0" fontId="1" fillId="0" borderId="0" xfId="20" applyAlignment="1">
      <alignment horizontal="center"/>
    </xf>
    <xf numFmtId="164" fontId="1" fillId="0" borderId="0" xfId="20" applyNumberFormat="1"/>
    <xf numFmtId="0" fontId="8" fillId="3" borderId="0" xfId="20" applyFont="1" applyFill="1" applyAlignment="1">
      <alignment horizontal="center" vertical="center" wrapText="1"/>
    </xf>
    <xf numFmtId="0" fontId="13" fillId="3" borderId="0" xfId="20" applyFont="1" applyFill="1" applyAlignment="1">
      <alignment horizontal="center" vertical="center"/>
    </xf>
    <xf numFmtId="14" fontId="8" fillId="3" borderId="0" xfId="20" applyNumberFormat="1" applyFont="1" applyFill="1" applyAlignment="1">
      <alignment horizontal="center" vertical="center" wrapText="1"/>
    </xf>
    <xf numFmtId="164" fontId="8" fillId="0" borderId="0" xfId="20" applyNumberFormat="1" applyFont="1" applyAlignment="1">
      <alignment vertical="center"/>
    </xf>
    <xf numFmtId="0" fontId="8" fillId="0" borderId="0" xfId="20" applyFont="1" applyAlignment="1">
      <alignment vertical="center"/>
    </xf>
    <xf numFmtId="0" fontId="8" fillId="5" borderId="1" xfId="20" applyFont="1" applyFill="1" applyBorder="1" applyAlignment="1">
      <alignment horizontal="center" vertical="center" wrapText="1"/>
    </xf>
    <xf numFmtId="0" fontId="8" fillId="5" borderId="2" xfId="20" applyFont="1" applyFill="1" applyBorder="1" applyAlignment="1">
      <alignment horizontal="center" vertical="center" wrapText="1"/>
    </xf>
    <xf numFmtId="0" fontId="8" fillId="5" borderId="3" xfId="20" applyFont="1" applyFill="1" applyBorder="1" applyAlignment="1">
      <alignment horizontal="center" vertical="center" wrapText="1"/>
    </xf>
    <xf numFmtId="2" fontId="8" fillId="0" borderId="0" xfId="20" applyNumberFormat="1" applyFont="1" applyAlignment="1">
      <alignment horizontal="center" vertical="center" wrapText="1"/>
    </xf>
    <xf numFmtId="0" fontId="8" fillId="2" borderId="0" xfId="20" applyFont="1" applyFill="1" applyAlignment="1">
      <alignment horizontal="center" wrapText="1"/>
    </xf>
    <xf numFmtId="4" fontId="7" fillId="2" borderId="0" xfId="20" applyNumberFormat="1" applyFont="1" applyFill="1" applyAlignment="1">
      <alignment horizontal="center" vertical="center"/>
    </xf>
    <xf numFmtId="0" fontId="8" fillId="2" borderId="0" xfId="20" applyFont="1" applyFill="1" applyAlignment="1">
      <alignment horizontal="left" vertical="center" wrapText="1"/>
    </xf>
    <xf numFmtId="0" fontId="42" fillId="0" borderId="0" xfId="0" applyFont="1" applyAlignment="1">
      <alignment horizontal="justify" vertical="center" wrapText="1"/>
    </xf>
    <xf numFmtId="4" fontId="43" fillId="0" borderId="0" xfId="0" applyNumberFormat="1" applyFont="1" applyAlignment="1">
      <alignment horizontal="right" vertical="center" wrapText="1"/>
    </xf>
    <xf numFmtId="0" fontId="44" fillId="5" borderId="0" xfId="0" applyFont="1" applyFill="1" applyAlignment="1">
      <alignment horizontal="justify" vertical="top" wrapText="1"/>
    </xf>
    <xf numFmtId="4" fontId="44" fillId="5" borderId="0" xfId="0" applyNumberFormat="1" applyFont="1" applyFill="1" applyAlignment="1">
      <alignment horizontal="center" wrapText="1"/>
    </xf>
    <xf numFmtId="0" fontId="45" fillId="0" borderId="0" xfId="0" applyFont="1" applyAlignment="1">
      <alignment horizontal="justify" vertical="top" wrapText="1"/>
    </xf>
    <xf numFmtId="4" fontId="45" fillId="0" borderId="0" xfId="0" applyNumberFormat="1" applyFont="1" applyAlignment="1">
      <alignment horizontal="center" wrapText="1"/>
    </xf>
    <xf numFmtId="0" fontId="44" fillId="4" borderId="0" xfId="0" applyFont="1" applyFill="1" applyAlignment="1">
      <alignment horizontal="justify" vertical="top" wrapText="1"/>
    </xf>
    <xf numFmtId="4" fontId="44" fillId="4" borderId="0" xfId="0" applyNumberFormat="1" applyFont="1" applyFill="1" applyAlignment="1">
      <alignment horizontal="center" wrapText="1"/>
    </xf>
    <xf numFmtId="164" fontId="7" fillId="4" borderId="0" xfId="20" applyNumberFormat="1" applyFont="1" applyFill="1" applyAlignment="1">
      <alignment vertical="center"/>
    </xf>
    <xf numFmtId="0" fontId="44" fillId="0" borderId="0" xfId="0" applyFont="1" applyAlignment="1">
      <alignment horizontal="justify" vertical="top" wrapText="1"/>
    </xf>
    <xf numFmtId="4" fontId="44" fillId="0" borderId="0" xfId="0" applyNumberFormat="1" applyFont="1" applyAlignment="1">
      <alignment horizontal="center" wrapText="1"/>
    </xf>
    <xf numFmtId="164" fontId="7" fillId="0" borderId="0" xfId="20" applyNumberFormat="1" applyFont="1" applyAlignment="1">
      <alignment horizontal="right"/>
    </xf>
    <xf numFmtId="164" fontId="11" fillId="4" borderId="0" xfId="20" applyNumberFormat="1" applyFont="1" applyFill="1" applyAlignment="1">
      <alignment vertical="center"/>
    </xf>
    <xf numFmtId="164" fontId="8" fillId="0" borderId="0" xfId="20" applyNumberFormat="1" applyFont="1" applyAlignment="1">
      <alignment horizontal="right"/>
    </xf>
    <xf numFmtId="2" fontId="44" fillId="4" borderId="0" xfId="0" applyNumberFormat="1" applyFont="1" applyFill="1" applyAlignment="1">
      <alignment horizontal="center" wrapText="1"/>
    </xf>
    <xf numFmtId="2" fontId="45" fillId="0" borderId="0" xfId="0" applyNumberFormat="1" applyFont="1" applyAlignment="1">
      <alignment horizontal="center" wrapText="1"/>
    </xf>
    <xf numFmtId="2" fontId="44" fillId="0" borderId="0" xfId="0" applyNumberFormat="1" applyFont="1" applyAlignment="1">
      <alignment horizontal="center" wrapText="1"/>
    </xf>
    <xf numFmtId="0" fontId="42" fillId="2" borderId="0" xfId="0" applyFont="1" applyFill="1" applyAlignment="1">
      <alignment horizontal="justify" vertical="center" wrapText="1"/>
    </xf>
    <xf numFmtId="164" fontId="8" fillId="2" borderId="0" xfId="20" applyNumberFormat="1" applyFont="1" applyFill="1" applyAlignment="1">
      <alignment vertical="center"/>
    </xf>
    <xf numFmtId="0" fontId="8" fillId="3" borderId="0" xfId="20" applyFont="1" applyFill="1" applyAlignment="1">
      <alignment vertical="center"/>
    </xf>
    <xf numFmtId="0" fontId="13" fillId="3" borderId="0" xfId="20" applyFont="1" applyFill="1" applyAlignment="1">
      <alignment vertical="center"/>
    </xf>
    <xf numFmtId="0" fontId="8" fillId="5" borderId="1" xfId="20" applyFont="1" applyFill="1" applyBorder="1" applyAlignment="1">
      <alignment vertical="center" wrapText="1"/>
    </xf>
    <xf numFmtId="0" fontId="8" fillId="0" borderId="0" xfId="20" applyFont="1" applyAlignment="1">
      <alignment vertical="top"/>
    </xf>
    <xf numFmtId="0" fontId="8" fillId="0" borderId="0" xfId="20" applyFont="1" applyAlignment="1">
      <alignment vertical="center" wrapText="1"/>
    </xf>
    <xf numFmtId="0" fontId="44" fillId="4" borderId="0" xfId="0" applyFont="1" applyFill="1" applyAlignment="1">
      <alignment vertical="top"/>
    </xf>
    <xf numFmtId="0" fontId="44" fillId="0" borderId="0" xfId="0" applyFont="1" applyAlignment="1">
      <alignment vertical="top" wrapText="1"/>
    </xf>
    <xf numFmtId="0" fontId="44" fillId="5" borderId="0" xfId="0" applyFont="1" applyFill="1" applyAlignment="1">
      <alignment vertical="top"/>
    </xf>
    <xf numFmtId="0" fontId="46" fillId="0" borderId="0" xfId="20" applyFont="1" applyAlignment="1">
      <alignment vertical="top"/>
    </xf>
    <xf numFmtId="0" fontId="7" fillId="2" borderId="0" xfId="20" applyFont="1" applyFill="1" applyAlignment="1">
      <alignment horizontal="center" vertical="center"/>
    </xf>
    <xf numFmtId="0" fontId="11" fillId="2" borderId="4" xfId="20" applyFont="1" applyFill="1" applyBorder="1" applyAlignment="1">
      <alignment vertical="center" wrapText="1"/>
    </xf>
    <xf numFmtId="0" fontId="8" fillId="0" borderId="0" xfId="20" applyFont="1" applyAlignment="1">
      <alignment horizontal="justify" vertical="top" wrapText="1"/>
    </xf>
    <xf numFmtId="0" fontId="44" fillId="0" borderId="0" xfId="0" applyFont="1" applyAlignment="1">
      <alignment horizontal="justify" vertical="center" wrapText="1"/>
    </xf>
    <xf numFmtId="4" fontId="48" fillId="0" borderId="0" xfId="20" applyNumberFormat="1" applyFont="1" applyAlignment="1">
      <alignment horizontal="justify" vertical="top" wrapText="1"/>
    </xf>
    <xf numFmtId="164" fontId="48" fillId="0" borderId="0" xfId="20" applyNumberFormat="1" applyFont="1" applyAlignment="1">
      <alignment horizontal="center" vertical="center"/>
    </xf>
    <xf numFmtId="0" fontId="11" fillId="0" borderId="0" xfId="20" applyFont="1" applyAlignment="1">
      <alignment vertical="center" wrapText="1"/>
    </xf>
    <xf numFmtId="164" fontId="49" fillId="0" borderId="0" xfId="20" applyNumberFormat="1" applyFont="1" applyAlignment="1">
      <alignment vertical="center"/>
    </xf>
    <xf numFmtId="164" fontId="48" fillId="0" borderId="0" xfId="20" applyNumberFormat="1" applyFont="1" applyAlignment="1">
      <alignment vertical="center"/>
    </xf>
    <xf numFmtId="0" fontId="45" fillId="0" borderId="0" xfId="0" applyFont="1" applyAlignment="1">
      <alignment horizontal="justify" vertical="center" wrapText="1"/>
    </xf>
    <xf numFmtId="0" fontId="41" fillId="0" borderId="0" xfId="20" applyFont="1" applyAlignment="1">
      <alignment vertical="top" wrapText="1"/>
    </xf>
    <xf numFmtId="164" fontId="7" fillId="0" borderId="0" xfId="20" applyNumberFormat="1" applyFont="1" applyAlignment="1">
      <alignment vertical="center" wrapText="1"/>
    </xf>
    <xf numFmtId="0" fontId="7" fillId="2" borderId="0" xfId="20" applyFont="1" applyFill="1"/>
    <xf numFmtId="0" fontId="59" fillId="29" borderId="0" xfId="20" applyFont="1" applyFill="1" applyAlignment="1">
      <alignment wrapText="1"/>
    </xf>
    <xf numFmtId="0" fontId="12" fillId="28" borderId="0" xfId="20" applyFont="1" applyFill="1"/>
    <xf numFmtId="0" fontId="53" fillId="0" borderId="0" xfId="20" applyFont="1" applyAlignment="1">
      <alignment wrapText="1"/>
    </xf>
    <xf numFmtId="0" fontId="59" fillId="0" borderId="0" xfId="20" applyFont="1" applyAlignment="1">
      <alignment wrapText="1"/>
    </xf>
    <xf numFmtId="0" fontId="54" fillId="0" borderId="0" xfId="20" applyFont="1" applyAlignment="1">
      <alignment wrapText="1"/>
    </xf>
    <xf numFmtId="0" fontId="55" fillId="0" borderId="0" xfId="20" applyFont="1" applyAlignment="1">
      <alignment wrapText="1"/>
    </xf>
    <xf numFmtId="0" fontId="55" fillId="0" borderId="0" xfId="20" applyFont="1" applyAlignment="1">
      <alignment vertical="center" wrapText="1"/>
    </xf>
    <xf numFmtId="0" fontId="56" fillId="0" borderId="0" xfId="20" applyFont="1" applyAlignment="1">
      <alignment vertical="center" wrapText="1"/>
    </xf>
    <xf numFmtId="4" fontId="57" fillId="0" borderId="0" xfId="0" applyNumberFormat="1" applyFont="1" applyAlignment="1">
      <alignment horizontal="center" wrapText="1"/>
    </xf>
    <xf numFmtId="0" fontId="58" fillId="0" borderId="0" xfId="20" applyFont="1" applyAlignment="1">
      <alignment wrapText="1"/>
    </xf>
    <xf numFmtId="0" fontId="52" fillId="0" borderId="0" xfId="0" applyFont="1" applyAlignment="1">
      <alignment horizontal="justify" vertical="top" wrapText="1"/>
    </xf>
    <xf numFmtId="18" fontId="44" fillId="0" borderId="0" xfId="0" applyNumberFormat="1" applyFont="1" applyAlignment="1">
      <alignment vertical="top" wrapText="1"/>
    </xf>
    <xf numFmtId="0" fontId="53" fillId="0" borderId="0" xfId="20" applyFont="1" applyAlignment="1">
      <alignment horizontal="center" wrapText="1"/>
    </xf>
    <xf numFmtId="0" fontId="55" fillId="0" borderId="0" xfId="20" applyFont="1" applyAlignment="1">
      <alignment horizontal="center" vertical="center" wrapText="1"/>
    </xf>
    <xf numFmtId="0" fontId="45" fillId="0" borderId="0" xfId="0" applyFont="1" applyAlignment="1">
      <alignment horizontal="center" wrapText="1"/>
    </xf>
    <xf numFmtId="164" fontId="7" fillId="0" borderId="0" xfId="20" applyNumberFormat="1" applyFont="1" applyAlignment="1">
      <alignment horizontal="right" vertical="center"/>
    </xf>
    <xf numFmtId="164" fontId="8" fillId="0" borderId="0" xfId="20" applyNumberFormat="1" applyFont="1" applyAlignment="1">
      <alignment horizontal="right" vertical="center"/>
    </xf>
    <xf numFmtId="0" fontId="61" fillId="0" borderId="0" xfId="0" applyFont="1" applyAlignment="1">
      <alignment wrapText="1"/>
    </xf>
    <xf numFmtId="0" fontId="2" fillId="0" borderId="0" xfId="0" applyFont="1"/>
    <xf numFmtId="0" fontId="41" fillId="0" borderId="16" xfId="0" applyFont="1" applyBorder="1" applyAlignment="1">
      <alignment horizontal="center" vertical="top"/>
    </xf>
    <xf numFmtId="0" fontId="2" fillId="0" borderId="0" xfId="0" applyFont="1" applyAlignment="1">
      <alignment horizontal="center"/>
    </xf>
    <xf numFmtId="0" fontId="8" fillId="0" borderId="0" xfId="20" applyFont="1" applyAlignment="1">
      <alignment horizontal="center" vertical="center" wrapText="1"/>
    </xf>
    <xf numFmtId="0" fontId="44" fillId="30" borderId="0" xfId="0" applyFont="1" applyFill="1" applyAlignment="1">
      <alignment vertical="top" wrapText="1"/>
    </xf>
    <xf numFmtId="4" fontId="45" fillId="30" borderId="0" xfId="0" applyNumberFormat="1" applyFont="1" applyFill="1" applyAlignment="1">
      <alignment horizontal="center" wrapText="1"/>
    </xf>
    <xf numFmtId="0" fontId="45" fillId="30" borderId="0" xfId="0" applyFont="1" applyFill="1" applyAlignment="1">
      <alignment horizontal="center" wrapText="1"/>
    </xf>
    <xf numFmtId="2" fontId="63" fillId="0" borderId="0" xfId="0" applyNumberFormat="1" applyFont="1" applyAlignment="1">
      <alignment horizontal="center" wrapText="1"/>
    </xf>
    <xf numFmtId="164" fontId="11" fillId="0" borderId="0" xfId="20" applyNumberFormat="1" applyFont="1" applyAlignment="1">
      <alignment vertical="center"/>
    </xf>
    <xf numFmtId="0" fontId="64" fillId="5" borderId="0" xfId="0" applyFont="1" applyFill="1" applyAlignment="1">
      <alignment vertical="top"/>
    </xf>
    <xf numFmtId="4" fontId="62" fillId="0" borderId="0" xfId="0" applyNumberFormat="1" applyFont="1" applyAlignment="1">
      <alignment horizontal="center" wrapText="1"/>
    </xf>
    <xf numFmtId="0" fontId="44" fillId="0" borderId="0" xfId="0" applyFont="1" applyAlignment="1">
      <alignment vertical="top"/>
    </xf>
    <xf numFmtId="2" fontId="67" fillId="3" borderId="0" xfId="20" applyNumberFormat="1" applyFont="1" applyFill="1" applyAlignment="1">
      <alignment horizontal="center" vertical="center" wrapText="1"/>
    </xf>
    <xf numFmtId="2" fontId="67" fillId="5" borderId="2" xfId="20" applyNumberFormat="1" applyFont="1" applyFill="1" applyBorder="1" applyAlignment="1">
      <alignment horizontal="center" vertical="center" wrapText="1"/>
    </xf>
    <xf numFmtId="2" fontId="68" fillId="0" borderId="0" xfId="20" applyNumberFormat="1" applyFont="1"/>
    <xf numFmtId="2" fontId="69" fillId="0" borderId="0" xfId="20" applyNumberFormat="1" applyFont="1" applyAlignment="1">
      <alignment horizontal="center" vertical="center"/>
    </xf>
    <xf numFmtId="2" fontId="68" fillId="0" borderId="0" xfId="20" applyNumberFormat="1" applyFont="1" applyAlignment="1">
      <alignment horizontal="center" vertical="center"/>
    </xf>
    <xf numFmtId="2" fontId="68" fillId="4" borderId="0" xfId="20" applyNumberFormat="1" applyFont="1" applyFill="1" applyAlignment="1">
      <alignment horizontal="center" vertical="center"/>
    </xf>
    <xf numFmtId="2" fontId="66" fillId="4" borderId="0" xfId="0" applyNumberFormat="1" applyFont="1" applyFill="1" applyAlignment="1">
      <alignment horizontal="center" wrapText="1"/>
    </xf>
    <xf numFmtId="2" fontId="66" fillId="0" borderId="0" xfId="0" applyNumberFormat="1" applyFont="1" applyAlignment="1">
      <alignment horizontal="center" wrapText="1"/>
    </xf>
    <xf numFmtId="2" fontId="63" fillId="30" borderId="0" xfId="0" applyNumberFormat="1" applyFont="1" applyFill="1" applyAlignment="1">
      <alignment horizontal="center" wrapText="1"/>
    </xf>
    <xf numFmtId="2" fontId="70" fillId="0" borderId="0" xfId="20" applyNumberFormat="1" applyFont="1"/>
    <xf numFmtId="0" fontId="51" fillId="0" borderId="0" xfId="0" applyFont="1" applyAlignment="1">
      <alignment vertical="top" wrapText="1"/>
    </xf>
    <xf numFmtId="0" fontId="64" fillId="0" borderId="0" xfId="0" applyFont="1" applyAlignment="1">
      <alignment vertical="top"/>
    </xf>
    <xf numFmtId="0" fontId="8" fillId="4" borderId="0" xfId="20" applyFont="1" applyFill="1" applyAlignment="1">
      <alignment vertical="center"/>
    </xf>
    <xf numFmtId="0" fontId="63" fillId="0" borderId="0" xfId="0" applyFont="1" applyAlignment="1">
      <alignment wrapText="1"/>
    </xf>
    <xf numFmtId="0" fontId="68" fillId="0" borderId="0" xfId="0" applyFont="1" applyAlignment="1">
      <alignment wrapText="1"/>
    </xf>
    <xf numFmtId="0" fontId="45" fillId="0" borderId="0" xfId="0" applyFont="1" applyAlignment="1">
      <alignment wrapText="1"/>
    </xf>
    <xf numFmtId="0" fontId="64" fillId="4" borderId="0" xfId="0" applyFont="1" applyFill="1" applyAlignment="1">
      <alignment vertical="top"/>
    </xf>
    <xf numFmtId="0" fontId="41" fillId="0" borderId="16" xfId="0" applyFont="1" applyBorder="1" applyAlignment="1">
      <alignment horizontal="justify" vertical="top" wrapText="1"/>
    </xf>
    <xf numFmtId="2" fontId="44" fillId="5" borderId="0" xfId="0" applyNumberFormat="1" applyFont="1" applyFill="1" applyAlignment="1">
      <alignment vertical="top"/>
    </xf>
    <xf numFmtId="164" fontId="65" fillId="0" borderId="0" xfId="20" applyNumberFormat="1" applyFont="1"/>
    <xf numFmtId="0" fontId="63" fillId="0" borderId="0" xfId="0" applyFont="1" applyAlignment="1">
      <alignment horizontal="justify" vertical="top" wrapText="1"/>
    </xf>
    <xf numFmtId="0" fontId="72" fillId="0" borderId="0" xfId="0" applyFont="1" applyAlignment="1">
      <alignment wrapText="1"/>
    </xf>
    <xf numFmtId="0" fontId="71" fillId="0" borderId="0" xfId="0" applyFont="1" applyAlignment="1">
      <alignment wrapText="1"/>
    </xf>
    <xf numFmtId="2" fontId="72" fillId="0" borderId="0" xfId="0" applyNumberFormat="1" applyFont="1" applyAlignment="1">
      <alignment horizontal="center" wrapText="1"/>
    </xf>
    <xf numFmtId="0" fontId="66" fillId="5" borderId="0" xfId="0" applyFont="1" applyFill="1" applyAlignment="1">
      <alignment vertical="top"/>
    </xf>
    <xf numFmtId="0" fontId="74" fillId="0" borderId="0" xfId="0" applyFont="1" applyAlignment="1">
      <alignment vertical="top" wrapText="1"/>
    </xf>
    <xf numFmtId="0" fontId="72" fillId="0" borderId="0" xfId="0" applyFont="1" applyAlignment="1">
      <alignment horizontal="justify" vertical="top" wrapText="1"/>
    </xf>
    <xf numFmtId="4" fontId="72" fillId="0" borderId="0" xfId="0" applyNumberFormat="1" applyFont="1" applyAlignment="1">
      <alignment horizontal="center" wrapText="1"/>
    </xf>
    <xf numFmtId="0" fontId="73" fillId="0" borderId="0" xfId="0" applyFont="1" applyAlignment="1">
      <alignment vertical="top" wrapText="1"/>
    </xf>
    <xf numFmtId="0" fontId="75" fillId="0" borderId="0" xfId="0" applyFont="1" applyAlignment="1">
      <alignment horizontal="justify" vertical="top" wrapText="1"/>
    </xf>
    <xf numFmtId="2" fontId="45" fillId="0" borderId="0" xfId="0" applyNumberFormat="1" applyFont="1" applyAlignment="1">
      <alignment wrapText="1"/>
    </xf>
    <xf numFmtId="2" fontId="72" fillId="0" borderId="0" xfId="0" applyNumberFormat="1" applyFont="1" applyAlignment="1">
      <alignment wrapText="1"/>
    </xf>
    <xf numFmtId="2" fontId="71" fillId="0" borderId="0" xfId="0" applyNumberFormat="1" applyFont="1" applyAlignment="1">
      <alignment horizontal="center" wrapText="1"/>
    </xf>
    <xf numFmtId="2" fontId="66" fillId="5" borderId="0" xfId="0" applyNumberFormat="1" applyFont="1" applyFill="1" applyAlignment="1">
      <alignment vertical="top"/>
    </xf>
    <xf numFmtId="0" fontId="8" fillId="3" borderId="0" xfId="20" applyFont="1" applyFill="1" applyAlignment="1">
      <alignment horizontal="center" vertical="center"/>
    </xf>
    <xf numFmtId="0" fontId="60" fillId="0" borderId="0" xfId="20" applyFont="1" applyAlignment="1">
      <alignment horizontal="left" vertical="top" wrapText="1"/>
    </xf>
    <xf numFmtId="0" fontId="41" fillId="0" borderId="16" xfId="0" applyFont="1" applyBorder="1" applyAlignment="1">
      <alignment horizontal="left" vertical="top" wrapText="1"/>
    </xf>
    <xf numFmtId="0" fontId="13" fillId="0" borderId="0" xfId="20" applyFont="1" applyAlignment="1">
      <alignment horizontal="center" vertical="center"/>
    </xf>
    <xf numFmtId="0" fontId="41" fillId="0" borderId="0" xfId="108" applyFont="1" applyAlignment="1">
      <alignment horizontal="justify" vertical="top" wrapText="1"/>
    </xf>
    <xf numFmtId="164" fontId="7" fillId="0" borderId="0" xfId="20" applyNumberFormat="1" applyFont="1" applyAlignment="1">
      <alignment wrapText="1" shrinkToFit="1"/>
    </xf>
    <xf numFmtId="2" fontId="1" fillId="0" borderId="0" xfId="20" applyNumberFormat="1"/>
    <xf numFmtId="0" fontId="44" fillId="4" borderId="0" xfId="0" applyFont="1" applyFill="1" applyAlignment="1">
      <alignment vertical="top" wrapText="1"/>
    </xf>
    <xf numFmtId="4" fontId="45" fillId="4" borderId="0" xfId="0" applyNumberFormat="1" applyFont="1" applyFill="1" applyAlignment="1">
      <alignment horizontal="center" wrapText="1"/>
    </xf>
    <xf numFmtId="2" fontId="45" fillId="4" borderId="0" xfId="0" applyNumberFormat="1" applyFont="1" applyFill="1" applyAlignment="1">
      <alignment horizontal="center" wrapText="1"/>
    </xf>
    <xf numFmtId="0" fontId="44" fillId="4" borderId="0" xfId="0" applyFont="1" applyFill="1" applyAlignment="1">
      <alignment wrapText="1"/>
    </xf>
    <xf numFmtId="0" fontId="8" fillId="4" borderId="2" xfId="20" applyFont="1" applyFill="1" applyBorder="1" applyAlignment="1">
      <alignment horizontal="center" vertical="center" wrapText="1"/>
    </xf>
    <xf numFmtId="164" fontId="1" fillId="4" borderId="0" xfId="20" applyNumberFormat="1" applyFill="1"/>
    <xf numFmtId="164" fontId="46" fillId="4" borderId="0" xfId="20" applyNumberFormat="1" applyFont="1" applyFill="1"/>
    <xf numFmtId="0" fontId="51" fillId="5" borderId="0" xfId="0" applyFont="1" applyFill="1" applyAlignment="1">
      <alignment vertical="top"/>
    </xf>
    <xf numFmtId="0" fontId="64" fillId="4" borderId="0" xfId="0" applyFont="1" applyFill="1" applyAlignment="1">
      <alignment horizontal="justify" vertical="top" wrapText="1"/>
    </xf>
    <xf numFmtId="2" fontId="63" fillId="0" borderId="0" xfId="0" applyNumberFormat="1" applyFont="1" applyAlignment="1">
      <alignment horizontal="center" vertical="center" wrapText="1"/>
    </xf>
    <xf numFmtId="0" fontId="2" fillId="4" borderId="0" xfId="0" applyFont="1" applyFill="1"/>
    <xf numFmtId="0" fontId="2" fillId="4" borderId="0" xfId="0" applyFont="1" applyFill="1" applyAlignment="1">
      <alignment horizontal="center"/>
    </xf>
    <xf numFmtId="0" fontId="76" fillId="4" borderId="0" xfId="0" applyFont="1" applyFill="1"/>
    <xf numFmtId="164" fontId="76" fillId="4" borderId="0" xfId="0" applyNumberFormat="1" applyFont="1" applyFill="1"/>
    <xf numFmtId="0" fontId="11" fillId="0" borderId="0" xfId="20" applyFont="1" applyAlignment="1">
      <alignment vertical="center"/>
    </xf>
    <xf numFmtId="0" fontId="11" fillId="0" borderId="4" xfId="20" applyFont="1" applyBorder="1" applyAlignment="1">
      <alignment horizontal="left" vertical="center" wrapText="1"/>
    </xf>
    <xf numFmtId="0" fontId="11" fillId="0" borderId="5" xfId="20" applyFont="1" applyBorder="1" applyAlignment="1">
      <alignment horizontal="left" vertical="center" wrapText="1"/>
    </xf>
    <xf numFmtId="0" fontId="16" fillId="0" borderId="0" xfId="20" applyFont="1" applyAlignment="1">
      <alignment horizontal="left" vertical="center" wrapText="1"/>
    </xf>
    <xf numFmtId="164" fontId="11" fillId="2" borderId="6" xfId="20" applyNumberFormat="1" applyFont="1" applyFill="1" applyBorder="1" applyAlignment="1">
      <alignment horizontal="right" vertical="center" wrapText="1"/>
    </xf>
    <xf numFmtId="0" fontId="11" fillId="2" borderId="4" xfId="20" applyFont="1" applyFill="1" applyBorder="1" applyAlignment="1">
      <alignment horizontal="right" vertical="center" wrapText="1"/>
    </xf>
    <xf numFmtId="0" fontId="11" fillId="0" borderId="0" xfId="20" applyFont="1" applyAlignment="1">
      <alignment horizontal="center" vertical="center"/>
    </xf>
    <xf numFmtId="0" fontId="11" fillId="2" borderId="0" xfId="20" applyFont="1" applyFill="1" applyAlignment="1">
      <alignment horizontal="center" vertical="center"/>
    </xf>
    <xf numFmtId="0" fontId="40" fillId="2" borderId="0" xfId="0" applyFont="1" applyFill="1" applyAlignment="1">
      <alignment horizontal="center" vertical="center"/>
    </xf>
    <xf numFmtId="0" fontId="8" fillId="3" borderId="0" xfId="20" applyFont="1" applyFill="1" applyAlignment="1">
      <alignment horizontal="center" vertical="center"/>
    </xf>
    <xf numFmtId="0" fontId="40" fillId="0" borderId="0" xfId="0" applyFont="1" applyAlignment="1">
      <alignment horizontal="center" vertical="center"/>
    </xf>
    <xf numFmtId="0" fontId="39" fillId="0" borderId="0" xfId="0" applyFont="1" applyAlignment="1">
      <alignment horizontal="center" vertical="center"/>
    </xf>
    <xf numFmtId="0" fontId="39" fillId="0" borderId="0" xfId="0" applyFont="1" applyAlignment="1">
      <alignment horizontal="left" vertical="center"/>
    </xf>
    <xf numFmtId="0" fontId="40" fillId="0" borderId="0" xfId="0" applyFont="1" applyAlignment="1">
      <alignment vertical="center"/>
    </xf>
    <xf numFmtId="0" fontId="39" fillId="0" borderId="0" xfId="0" applyFont="1" applyAlignment="1">
      <alignment vertical="center"/>
    </xf>
    <xf numFmtId="0" fontId="55" fillId="29" borderId="0" xfId="20" applyFont="1" applyFill="1" applyAlignment="1">
      <alignment horizontal="center" wrapText="1"/>
    </xf>
    <xf numFmtId="0" fontId="60" fillId="0" borderId="0" xfId="20" applyFont="1" applyAlignment="1">
      <alignment horizontal="left" vertical="center" wrapText="1"/>
    </xf>
    <xf numFmtId="0" fontId="60" fillId="0" borderId="0" xfId="20" applyFont="1" applyAlignment="1">
      <alignment horizontal="left" vertical="top" wrapText="1"/>
    </xf>
  </cellXfs>
  <cellStyles count="110">
    <cellStyle name="_007027 R5 Orey" xfId="32" xr:uid="{00000000-0005-0000-0000-000000000000}"/>
    <cellStyle name="_007193.P3" xfId="33" xr:uid="{00000000-0005-0000-0000-000001000000}"/>
    <cellStyle name="_007247.R2 Cegedim" xfId="34" xr:uid="{00000000-0005-0000-0000-000002000000}"/>
    <cellStyle name="_007352 MicroStrategy" xfId="35" xr:uid="{00000000-0005-0000-0000-000003000000}"/>
    <cellStyle name="_008000Kraft Food" xfId="36" xr:uid="{00000000-0005-0000-0000-000004000000}"/>
    <cellStyle name="_008156 AON Seguros" xfId="37" xr:uid="{00000000-0005-0000-0000-000005000000}"/>
    <cellStyle name="_008276 Paiã Park" xfId="38" xr:uid="{00000000-0005-0000-0000-000006000000}"/>
    <cellStyle name="_Extinção automática" xfId="39" xr:uid="{00000000-0005-0000-0000-000007000000}"/>
    <cellStyle name="_Inst. Eléctricas" xfId="40" xr:uid="{00000000-0005-0000-0000-000008000000}"/>
    <cellStyle name="_Orçamento Base" xfId="41" xr:uid="{00000000-0005-0000-0000-000009000000}"/>
    <cellStyle name="_Rede aguas consumo" xfId="42" xr:uid="{00000000-0005-0000-0000-00000A000000}"/>
    <cellStyle name="_Residuais" xfId="43" xr:uid="{00000000-0005-0000-0000-00000B000000}"/>
    <cellStyle name="0,0_x000d__x000a_NA_x000d__x000a_" xfId="30" xr:uid="{00000000-0005-0000-0000-00000C000000}"/>
    <cellStyle name="0,0_x000d__x000a_NA_x000d__x000a_ 2" xfId="44" xr:uid="{00000000-0005-0000-0000-00000D000000}"/>
    <cellStyle name="0,0_x000d__x000a_NA_x000d__x000a__OR11258.R1 CERQUIA" xfId="45" xr:uid="{00000000-0005-0000-0000-00000E000000}"/>
    <cellStyle name="20% - Accent1" xfId="46" xr:uid="{00000000-0005-0000-0000-00000F000000}"/>
    <cellStyle name="20% - Accent2" xfId="47" xr:uid="{00000000-0005-0000-0000-000010000000}"/>
    <cellStyle name="20% - Accent3" xfId="48" xr:uid="{00000000-0005-0000-0000-000011000000}"/>
    <cellStyle name="20% - Accent4" xfId="49" xr:uid="{00000000-0005-0000-0000-000012000000}"/>
    <cellStyle name="20% - Accent5" xfId="50" xr:uid="{00000000-0005-0000-0000-000013000000}"/>
    <cellStyle name="20% - Accent6" xfId="51" xr:uid="{00000000-0005-0000-0000-000014000000}"/>
    <cellStyle name="40% - Accent1" xfId="52" xr:uid="{00000000-0005-0000-0000-000015000000}"/>
    <cellStyle name="40% - Accent2" xfId="53" xr:uid="{00000000-0005-0000-0000-000016000000}"/>
    <cellStyle name="40% - Accent3" xfId="54" xr:uid="{00000000-0005-0000-0000-000017000000}"/>
    <cellStyle name="40% - Accent4" xfId="55" xr:uid="{00000000-0005-0000-0000-000018000000}"/>
    <cellStyle name="40% - Accent5" xfId="56" xr:uid="{00000000-0005-0000-0000-000019000000}"/>
    <cellStyle name="40% - Accent6" xfId="57" xr:uid="{00000000-0005-0000-0000-00001A000000}"/>
    <cellStyle name="60% - Accent1" xfId="58" xr:uid="{00000000-0005-0000-0000-00001B000000}"/>
    <cellStyle name="60% - Accent2" xfId="59" xr:uid="{00000000-0005-0000-0000-00001C000000}"/>
    <cellStyle name="60% - Accent3" xfId="60" xr:uid="{00000000-0005-0000-0000-00001D000000}"/>
    <cellStyle name="60% - Accent4" xfId="61" xr:uid="{00000000-0005-0000-0000-00001E000000}"/>
    <cellStyle name="60% - Accent5" xfId="62" xr:uid="{00000000-0005-0000-0000-00001F000000}"/>
    <cellStyle name="60% - Accent6" xfId="63" xr:uid="{00000000-0005-0000-0000-000020000000}"/>
    <cellStyle name="Accent1" xfId="64" xr:uid="{00000000-0005-0000-0000-000021000000}"/>
    <cellStyle name="Accent2" xfId="65" xr:uid="{00000000-0005-0000-0000-000022000000}"/>
    <cellStyle name="Accent3" xfId="66" xr:uid="{00000000-0005-0000-0000-000023000000}"/>
    <cellStyle name="Accent4" xfId="67" xr:uid="{00000000-0005-0000-0000-000024000000}"/>
    <cellStyle name="Accent5" xfId="68" xr:uid="{00000000-0005-0000-0000-000025000000}"/>
    <cellStyle name="Accent6" xfId="69" xr:uid="{00000000-0005-0000-0000-000026000000}"/>
    <cellStyle name="Bad" xfId="70" xr:uid="{00000000-0005-0000-0000-000027000000}"/>
    <cellStyle name="BOLD-Artigo" xfId="71" xr:uid="{00000000-0005-0000-0000-000028000000}"/>
    <cellStyle name="BOLD-Designação" xfId="72" xr:uid="{00000000-0005-0000-0000-000029000000}"/>
    <cellStyle name="Calculation" xfId="73" xr:uid="{00000000-0005-0000-0000-00002A000000}"/>
    <cellStyle name="Check Cell" xfId="74" xr:uid="{00000000-0005-0000-0000-00002B000000}"/>
    <cellStyle name="Comma0" xfId="75" xr:uid="{00000000-0005-0000-0000-00002C000000}"/>
    <cellStyle name="Currency0" xfId="76" xr:uid="{00000000-0005-0000-0000-00002D000000}"/>
    <cellStyle name="Date" xfId="77" xr:uid="{00000000-0005-0000-0000-00002E000000}"/>
    <cellStyle name="Estilo 1" xfId="29" xr:uid="{00000000-0005-0000-0000-00002F000000}"/>
    <cellStyle name="Estilo 1 2" xfId="78" xr:uid="{00000000-0005-0000-0000-000030000000}"/>
    <cellStyle name="Estilo 1_OR11258.R1 CERQUIA" xfId="79" xr:uid="{00000000-0005-0000-0000-000031000000}"/>
    <cellStyle name="Euro" xfId="28" xr:uid="{00000000-0005-0000-0000-000032000000}"/>
    <cellStyle name="Euro 2" xfId="80" xr:uid="{00000000-0005-0000-0000-000033000000}"/>
    <cellStyle name="Euro_Mapa de quantidades LBP5Poente v5.2" xfId="81" xr:uid="{00000000-0005-0000-0000-000034000000}"/>
    <cellStyle name="Explanatory Text" xfId="82" xr:uid="{00000000-0005-0000-0000-000035000000}"/>
    <cellStyle name="Fixed" xfId="83" xr:uid="{00000000-0005-0000-0000-000036000000}"/>
    <cellStyle name="Good" xfId="84" xr:uid="{00000000-0005-0000-0000-000037000000}"/>
    <cellStyle name="Heading 1" xfId="85" xr:uid="{00000000-0005-0000-0000-000038000000}"/>
    <cellStyle name="Heading 1 2" xfId="86" xr:uid="{00000000-0005-0000-0000-000039000000}"/>
    <cellStyle name="Heading 2" xfId="87" xr:uid="{00000000-0005-0000-0000-00003A000000}"/>
    <cellStyle name="Heading 2 2" xfId="88" xr:uid="{00000000-0005-0000-0000-00003B000000}"/>
    <cellStyle name="Heading 3" xfId="89" xr:uid="{00000000-0005-0000-0000-00003C000000}"/>
    <cellStyle name="Heading 4" xfId="90" xr:uid="{00000000-0005-0000-0000-00003D000000}"/>
    <cellStyle name="Input" xfId="91" xr:uid="{00000000-0005-0000-0000-00003F000000}"/>
    <cellStyle name="Item2-Normal-Designação" xfId="92" xr:uid="{00000000-0005-0000-0000-000040000000}"/>
    <cellStyle name="Item-Normal-Designação" xfId="93" xr:uid="{00000000-0005-0000-0000-000041000000}"/>
    <cellStyle name="Linked Cell" xfId="94" xr:uid="{00000000-0005-0000-0000-000042000000}"/>
    <cellStyle name="Moeda 2" xfId="24" xr:uid="{00000000-0005-0000-0000-000043000000}"/>
    <cellStyle name="Moeda 2 2" xfId="26" xr:uid="{00000000-0005-0000-0000-000044000000}"/>
    <cellStyle name="Moeda 3" xfId="27" xr:uid="{00000000-0005-0000-0000-000045000000}"/>
    <cellStyle name="Neutral" xfId="95" xr:uid="{00000000-0005-0000-0000-000046000000}"/>
    <cellStyle name="Normal" xfId="0" builtinId="0"/>
    <cellStyle name="Normal 10" xfId="108" xr:uid="{00000000-0005-0000-0000-000048000000}"/>
    <cellStyle name="Normal 100 3" xfId="96" xr:uid="{00000000-0005-0000-0000-000049000000}"/>
    <cellStyle name="Normal 108" xfId="18" xr:uid="{00000000-0005-0000-0000-00004A000000}"/>
    <cellStyle name="Normal 11 2" xfId="5" xr:uid="{00000000-0005-0000-0000-00004B000000}"/>
    <cellStyle name="Normal 119" xfId="19" xr:uid="{00000000-0005-0000-0000-00004C000000}"/>
    <cellStyle name="Normal 12 2" xfId="13" xr:uid="{00000000-0005-0000-0000-00004D000000}"/>
    <cellStyle name="Normal 125" xfId="20" xr:uid="{00000000-0005-0000-0000-00004E000000}"/>
    <cellStyle name="Normal 126" xfId="22" xr:uid="{00000000-0005-0000-0000-00004F000000}"/>
    <cellStyle name="Normal 13" xfId="10" xr:uid="{00000000-0005-0000-0000-000050000000}"/>
    <cellStyle name="Normal 13 5" xfId="6" xr:uid="{00000000-0005-0000-0000-000051000000}"/>
    <cellStyle name="Normal 2" xfId="2" xr:uid="{00000000-0005-0000-0000-000052000000}"/>
    <cellStyle name="Normal 2 18" xfId="9" xr:uid="{00000000-0005-0000-0000-000053000000}"/>
    <cellStyle name="Normal 2 2" xfId="3" xr:uid="{00000000-0005-0000-0000-000054000000}"/>
    <cellStyle name="Normal 2 3" xfId="1" xr:uid="{00000000-0005-0000-0000-000055000000}"/>
    <cellStyle name="Normal 23 2" xfId="17" xr:uid="{00000000-0005-0000-0000-000056000000}"/>
    <cellStyle name="Normal 3" xfId="8" xr:uid="{00000000-0005-0000-0000-000057000000}"/>
    <cellStyle name="Normal 3 16" xfId="16" xr:uid="{00000000-0005-0000-0000-000058000000}"/>
    <cellStyle name="Normal 4" xfId="12" xr:uid="{00000000-0005-0000-0000-000059000000}"/>
    <cellStyle name="Normal 5" xfId="23" xr:uid="{00000000-0005-0000-0000-00005A000000}"/>
    <cellStyle name="Normal 5 2" xfId="25" xr:uid="{00000000-0005-0000-0000-00005B000000}"/>
    <cellStyle name="Normal 6" xfId="14" xr:uid="{00000000-0005-0000-0000-00005C000000}"/>
    <cellStyle name="Normal 6 2" xfId="11" xr:uid="{00000000-0005-0000-0000-00005D000000}"/>
    <cellStyle name="Normal 7" xfId="109" xr:uid="{00000000-0005-0000-0000-00005E000000}"/>
    <cellStyle name="Normal 75 2" xfId="21" xr:uid="{00000000-0005-0000-0000-00005F000000}"/>
    <cellStyle name="Normal 8 3 2" xfId="15" xr:uid="{00000000-0005-0000-0000-000060000000}"/>
    <cellStyle name="Normal_007174 Ford - Estimativa" xfId="31" xr:uid="{00000000-0005-0000-0000-000061000000}"/>
    <cellStyle name="Normal-Artigo" xfId="97" xr:uid="{00000000-0005-0000-0000-000063000000}"/>
    <cellStyle name="Normal-Designação" xfId="98" xr:uid="{00000000-0005-0000-0000-000064000000}"/>
    <cellStyle name="Normal-Preços" xfId="99" xr:uid="{00000000-0005-0000-0000-000065000000}"/>
    <cellStyle name="Normal-Quantidade" xfId="100" xr:uid="{00000000-0005-0000-0000-000066000000}"/>
    <cellStyle name="Normal-Unidades" xfId="101" xr:uid="{00000000-0005-0000-0000-000067000000}"/>
    <cellStyle name="Note" xfId="102" xr:uid="{00000000-0005-0000-0000-000068000000}"/>
    <cellStyle name="Output" xfId="103" xr:uid="{00000000-0005-0000-0000-000069000000}"/>
    <cellStyle name="Style 1 10" xfId="4" xr:uid="{00000000-0005-0000-0000-00006A000000}"/>
    <cellStyle name="Style 1 2" xfId="7" xr:uid="{00000000-0005-0000-0000-00006B000000}"/>
    <cellStyle name="Title" xfId="104" xr:uid="{00000000-0005-0000-0000-00006C000000}"/>
    <cellStyle name="Total 2" xfId="105" xr:uid="{00000000-0005-0000-0000-00006D000000}"/>
    <cellStyle name="Vírgula 2" xfId="106" xr:uid="{00000000-0005-0000-0000-00006E000000}"/>
    <cellStyle name="Warning Text" xfId="107" xr:uid="{00000000-0005-0000-0000-00006F000000}"/>
  </cellStyles>
  <dxfs count="0"/>
  <tableStyles count="0" defaultTableStyle="TableStyleMedium9" defaultPivotStyle="PivotStyleLight16"/>
  <colors>
    <mruColors>
      <color rgb="FFFFFFB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2.xml"/><Relationship Id="rId4" Type="http://schemas.openxmlformats.org/officeDocument/2006/relationships/externalLink" Target="externalLinks/externalLink1.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180975</xdr:colOff>
      <xdr:row>0</xdr:row>
      <xdr:rowOff>38100</xdr:rowOff>
    </xdr:from>
    <xdr:to>
      <xdr:col>2</xdr:col>
      <xdr:colOff>173889</xdr:colOff>
      <xdr:row>0</xdr:row>
      <xdr:rowOff>695495</xdr:rowOff>
    </xdr:to>
    <xdr:pic>
      <xdr:nvPicPr>
        <xdr:cNvPr id="3" name="Imagem 2">
          <a:extLst>
            <a:ext uri="{FF2B5EF4-FFF2-40B4-BE49-F238E27FC236}">
              <a16:creationId xmlns:a16="http://schemas.microsoft.com/office/drawing/2014/main" id="{222FABD4-DFBB-4E34-9057-D64588E2BF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2425" y="38100"/>
          <a:ext cx="621564" cy="6573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106994</xdr:colOff>
      <xdr:row>0</xdr:row>
      <xdr:rowOff>54243</xdr:rowOff>
    </xdr:from>
    <xdr:to>
      <xdr:col>2</xdr:col>
      <xdr:colOff>104141</xdr:colOff>
      <xdr:row>0</xdr:row>
      <xdr:rowOff>711638</xdr:rowOff>
    </xdr:to>
    <xdr:pic>
      <xdr:nvPicPr>
        <xdr:cNvPr id="2" name="Imagem 1">
          <a:extLst>
            <a:ext uri="{FF2B5EF4-FFF2-40B4-BE49-F238E27FC236}">
              <a16:creationId xmlns:a16="http://schemas.microsoft.com/office/drawing/2014/main" id="{DC049561-FD99-468A-BFF2-B4D0172D77B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2166" y="54243"/>
          <a:ext cx="621199" cy="6573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106994</xdr:colOff>
      <xdr:row>0</xdr:row>
      <xdr:rowOff>54243</xdr:rowOff>
    </xdr:from>
    <xdr:to>
      <xdr:col>2</xdr:col>
      <xdr:colOff>104141</xdr:colOff>
      <xdr:row>0</xdr:row>
      <xdr:rowOff>711638</xdr:rowOff>
    </xdr:to>
    <xdr:pic>
      <xdr:nvPicPr>
        <xdr:cNvPr id="2" name="Imagem 1">
          <a:extLst>
            <a:ext uri="{FF2B5EF4-FFF2-40B4-BE49-F238E27FC236}">
              <a16:creationId xmlns:a16="http://schemas.microsoft.com/office/drawing/2014/main" id="{32738B10-A099-48AD-A62E-F28648E52D2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6594" y="0"/>
          <a:ext cx="606747"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106994</xdr:colOff>
      <xdr:row>0</xdr:row>
      <xdr:rowOff>54243</xdr:rowOff>
    </xdr:from>
    <xdr:to>
      <xdr:col>2</xdr:col>
      <xdr:colOff>104141</xdr:colOff>
      <xdr:row>0</xdr:row>
      <xdr:rowOff>711638</xdr:rowOff>
    </xdr:to>
    <xdr:pic>
      <xdr:nvPicPr>
        <xdr:cNvPr id="3" name="Imagem 1">
          <a:extLst>
            <a:ext uri="{FF2B5EF4-FFF2-40B4-BE49-F238E27FC236}">
              <a16:creationId xmlns:a16="http://schemas.microsoft.com/office/drawing/2014/main" id="{1D0F5109-5CEC-45BF-A6AB-0F4338BCAAF6}"/>
            </a:ext>
            <a:ext uri="{147F2762-F138-4A5C-976F-8EAC2B608ADB}">
              <a16:predDERef xmlns:a16="http://schemas.microsoft.com/office/drawing/2014/main" pred="{32738B10-A099-48AD-A62E-F28648E52D2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444" y="54243"/>
          <a:ext cx="625797" cy="524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03.Or&#231;amentos\2009\OR9078%20CUF\9078%20CUF.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03.Or&#231;amentos/2009/OR9078%20CUF/9078%20CUF.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o"/>
      <sheetName val="Arquitectura"/>
      <sheetName val="AVAC"/>
      <sheetName val=" AGUAS E ESGOTOS"/>
      <sheetName val="E (2)"/>
      <sheetName val="D"/>
      <sheetName val="S"/>
      <sheetName val="T"/>
      <sheetName val="K"/>
      <sheetName val="V"/>
      <sheetName val="Arq - Erros e Omi"/>
      <sheetName val="IE - Erros e Omi"/>
      <sheetName val="Aguas - Erros e Omi"/>
    </sheetNames>
    <sheetDataSet>
      <sheetData sheetId="0" refreshError="1"/>
      <sheetData sheetId="1">
        <row r="8">
          <cell r="A8" t="str">
            <v>Obra  :</v>
          </cell>
          <cell r="B8" t="str">
            <v>REMODELAÇÃO DE ESCRITÓRIO</v>
          </cell>
        </row>
        <row r="9">
          <cell r="A9" t="str">
            <v>Local:</v>
          </cell>
          <cell r="B9" t="str">
            <v>LAGOAS PARK – PORTO SALVO – OEIRAS</v>
          </cell>
          <cell r="F9" t="str">
            <v>N/Ref.ª 9078</v>
          </cell>
        </row>
        <row r="10">
          <cell r="A10" t="str">
            <v>Cliente:</v>
          </cell>
          <cell r="B10" t="str">
            <v>CUF</v>
          </cell>
          <cell r="F10" t="str">
            <v>Data: 12/03/2009</v>
          </cell>
        </row>
        <row r="12">
          <cell r="A12" t="str">
            <v xml:space="preserve">ARTIGO </v>
          </cell>
          <cell r="B12" t="str">
            <v>DESIGNAÇÃO  DOS  TRABALHOS</v>
          </cell>
          <cell r="C12" t="str">
            <v>UN.</v>
          </cell>
          <cell r="D12" t="str">
            <v>QUANT</v>
          </cell>
          <cell r="E12" t="str">
            <v>PREÇO</v>
          </cell>
          <cell r="F12" t="str">
            <v>IMPORTÂNCIA</v>
          </cell>
        </row>
        <row r="13">
          <cell r="A13" t="str">
            <v>Nº</v>
          </cell>
          <cell r="E13" t="str">
            <v>UNITÁRIO</v>
          </cell>
          <cell r="F13" t="str">
            <v>TOTAL</v>
          </cell>
        </row>
        <row r="16">
          <cell r="A16" t="str">
            <v xml:space="preserve"> CONSTRUÇÃO CIVIL</v>
          </cell>
        </row>
        <row r="18">
          <cell r="A18" t="str">
            <v>1</v>
          </cell>
          <cell r="B18" t="str">
            <v>DEMOLIÇÕES – Instalação Sanitária</v>
          </cell>
          <cell r="F18">
            <v>1042.22</v>
          </cell>
        </row>
        <row r="19">
          <cell r="A19" t="str">
            <v>1.1</v>
          </cell>
          <cell r="B19" t="str">
            <v>Demolição de paredes em alvenaria de tijolo cerâmico com estuque projectado.</v>
          </cell>
          <cell r="C19" t="str">
            <v>m²</v>
          </cell>
          <cell r="D19">
            <v>17</v>
          </cell>
          <cell r="E19">
            <v>17.32</v>
          </cell>
          <cell r="F19">
            <v>294.44</v>
          </cell>
        </row>
        <row r="21">
          <cell r="A21" t="str">
            <v>1.2</v>
          </cell>
          <cell r="B21" t="str">
            <v>Demolição de pavimento em mosaico de grês exturdido tipo “Maronagrês”.</v>
          </cell>
          <cell r="C21" t="str">
            <v>m²</v>
          </cell>
          <cell r="D21">
            <v>6</v>
          </cell>
          <cell r="E21">
            <v>49.07</v>
          </cell>
          <cell r="F21">
            <v>294.42</v>
          </cell>
        </row>
        <row r="23">
          <cell r="A23" t="str">
            <v>1.3</v>
          </cell>
          <cell r="B23" t="str">
            <v>Desmontagem de porta de madeira tipo “placarol” folheada a faia com acabamento envernizado, com ferragens tipo “Cifial” - 0,70mX2,00m</v>
          </cell>
          <cell r="C23" t="str">
            <v>un</v>
          </cell>
          <cell r="D23">
            <v>1</v>
          </cell>
          <cell r="E23">
            <v>46.67</v>
          </cell>
          <cell r="F23">
            <v>46.67</v>
          </cell>
        </row>
        <row r="25">
          <cell r="A25" t="str">
            <v>1.4</v>
          </cell>
          <cell r="B25" t="str">
            <v>Demolição de tecto falso em  gesso cartonado, com iluminação incorporada.</v>
          </cell>
          <cell r="C25" t="str">
            <v>m²</v>
          </cell>
          <cell r="D25">
            <v>6</v>
          </cell>
          <cell r="E25">
            <v>4.67</v>
          </cell>
          <cell r="F25">
            <v>28.02</v>
          </cell>
        </row>
        <row r="27">
          <cell r="A27" t="str">
            <v>1.5</v>
          </cell>
          <cell r="B27" t="str">
            <v>Desmontagem e assentamento das Loiças sanitárias existentes (tipo “Cifial”)  p\ nova Inst. Sanitária, (2 sanitas, 1 lavatório c\ monocomando)</v>
          </cell>
          <cell r="C27" t="str">
            <v>un</v>
          </cell>
          <cell r="D27">
            <v>3</v>
          </cell>
          <cell r="E27">
            <v>52.89</v>
          </cell>
          <cell r="F27">
            <v>158.67000000000002</v>
          </cell>
        </row>
        <row r="29">
          <cell r="A29" t="str">
            <v>1.6</v>
          </cell>
          <cell r="B29" t="str">
            <v>Desmontagem e montagem de divisória em fenólico existente c\ 2 portas, para lacar na cor branca.</v>
          </cell>
          <cell r="C29" t="str">
            <v>m²</v>
          </cell>
          <cell r="D29">
            <v>7</v>
          </cell>
          <cell r="E29">
            <v>20</v>
          </cell>
          <cell r="F29">
            <v>140</v>
          </cell>
        </row>
        <row r="31">
          <cell r="A31" t="str">
            <v>1.7</v>
          </cell>
          <cell r="B31" t="str">
            <v>Desmontagem de portas de armário  em madeira, para possivél reutilização, (zona exterior à inst. Sanitária) – 2,00mX2,00m</v>
          </cell>
          <cell r="C31" t="str">
            <v>m²</v>
          </cell>
          <cell r="D31">
            <v>4</v>
          </cell>
          <cell r="E31">
            <v>20</v>
          </cell>
          <cell r="F31">
            <v>80</v>
          </cell>
        </row>
        <row r="33">
          <cell r="A33" t="str">
            <v>2</v>
          </cell>
          <cell r="B33" t="str">
            <v>PAREDES DIVISÓRIAS</v>
          </cell>
          <cell r="F33">
            <v>27678.6</v>
          </cell>
        </row>
        <row r="35">
          <cell r="A35" t="str">
            <v>2.1</v>
          </cell>
          <cell r="B35" t="str">
            <v>Fornecimento e montagem de paredes em gesso cartonado, tipo Pladur, incluindo montantes, lã de rocha com 70Kg/m³, barramentos, e todos os trabalhos necessários à sua boa execução.</v>
          </cell>
          <cell r="C35" t="str">
            <v>m²</v>
          </cell>
          <cell r="D35">
            <v>180</v>
          </cell>
          <cell r="E35">
            <v>43.77</v>
          </cell>
          <cell r="F35">
            <v>7878.6</v>
          </cell>
        </row>
        <row r="37">
          <cell r="A37" t="str">
            <v>2.2</v>
          </cell>
          <cell r="B37" t="str">
            <v>Fornecimento e assentamento de divisórias fixas em vidro (3,00m), transparente temperado, jateado com 10mm espessura, perfis em ferro lacado a tinta de esmalte, incluindo todas as fixações e acessórios necessários ao seu bom funcionamento, conforme desenh</v>
          </cell>
          <cell r="C37" t="str">
            <v>m²</v>
          </cell>
          <cell r="D37">
            <v>99</v>
          </cell>
          <cell r="E37">
            <v>106.67</v>
          </cell>
          <cell r="F37">
            <v>10560.33</v>
          </cell>
        </row>
        <row r="39">
          <cell r="A39" t="str">
            <v>2.3</v>
          </cell>
          <cell r="B39" t="str">
            <v>Fornecimento e assentamento de divisórias fixas em vidro (3,00m), transparente temperado, com 10mm espessura, perfis em ferro lacado a tinta de esmalte, incluindo todas as fixações e acessórios necessários ao seu bom funcionamento, conforme desenho de por</v>
          </cell>
          <cell r="C39" t="str">
            <v>m²</v>
          </cell>
          <cell r="D39">
            <v>99</v>
          </cell>
          <cell r="E39">
            <v>93.33</v>
          </cell>
          <cell r="F39">
            <v>9239.67</v>
          </cell>
        </row>
        <row r="41">
          <cell r="A41" t="str">
            <v>Opção</v>
          </cell>
          <cell r="B41" t="str">
            <v>Fornecimento e assentamento de divisórias fixas em vidro (3,00m), transparente temperado, jateado com 10mm espessura, perfis em ferro lacado a tinta de esmalte, incluindo todas as fixações e acessórios necessários ao seu bom funcionamento, conforme desenh</v>
          </cell>
          <cell r="C41" t="str">
            <v>m²</v>
          </cell>
          <cell r="D41">
            <v>99</v>
          </cell>
          <cell r="E41">
            <v>106.67</v>
          </cell>
        </row>
        <row r="43">
          <cell r="A43" t="str">
            <v>Opção</v>
          </cell>
          <cell r="B43" t="str">
            <v>Fornecimento e montagem de divisória amovível auto-portante Clestra Hauserman linha "Loft" com 3,00m de altura, sendo constituida por painéis em vidro temperado de 12mm incolor, aplicado sobre uma estrutura composta por rodapé e rodatecto em alumínio extr</v>
          </cell>
          <cell r="C43" t="str">
            <v>m²</v>
          </cell>
          <cell r="D43">
            <v>112.02</v>
          </cell>
          <cell r="E43">
            <v>182.67</v>
          </cell>
        </row>
        <row r="45">
          <cell r="A45" t="str">
            <v>3</v>
          </cell>
          <cell r="B45" t="str">
            <v>REVESTIMENTOS DAS PAREDES</v>
          </cell>
          <cell r="F45">
            <v>15857.796999999999</v>
          </cell>
        </row>
        <row r="47">
          <cell r="A47" t="str">
            <v>3.1</v>
          </cell>
          <cell r="B47" t="str">
            <v>Fornecimento e execução de pintura com tinta plástica acetinada em paredes interiores e remates em madeira existentes na guarnição dos vãos, a 2 demão, de cor a definir em obra, incluindo todos os trabalhos necessários à sua boa execução.</v>
          </cell>
          <cell r="C47" t="str">
            <v>m²</v>
          </cell>
          <cell r="D47">
            <v>1100</v>
          </cell>
        </row>
        <row r="49">
          <cell r="B49" t="str">
            <v>Fornecimento e execução de pintura com tinta plástica acetinada em paredes interiores novas em gesso cartonado e remates em madeira existentes na guarnição dos vãos, a 2 demãos na cor branco puro, incluindo todos os trabalhos necessários à sua boa execuçã</v>
          </cell>
          <cell r="C49" t="str">
            <v>m²</v>
          </cell>
          <cell r="D49">
            <v>900</v>
          </cell>
          <cell r="E49">
            <v>3.53</v>
          </cell>
          <cell r="F49">
            <v>3177</v>
          </cell>
        </row>
        <row r="51">
          <cell r="B51" t="str">
            <v>Fornecimento e execução de pintura com tinta plástica acetinada em paredes interiores existentes e remates em madeira existentes na guarnição dos vãos, a 2 demão, de cor a definir em obra, incluindo todos os trabalhos necessários à sua boa execução.</v>
          </cell>
          <cell r="C51" t="str">
            <v>m²</v>
          </cell>
          <cell r="D51">
            <v>200</v>
          </cell>
          <cell r="E51">
            <v>2.6</v>
          </cell>
          <cell r="F51">
            <v>520</v>
          </cell>
        </row>
        <row r="53">
          <cell r="A53" t="str">
            <v>3.3</v>
          </cell>
          <cell r="B53" t="str">
            <v xml:space="preserve">Fornecimento e execução de pintura com tinta plástica acetinada nos apainelados em mdf,  de cor a definir em obra, incluindo todos os trabalhos necessários à sua boa execução. </v>
          </cell>
          <cell r="F53" t="str">
            <v>Incluido no fornecimento de painéis.
Erros e Omissões</v>
          </cell>
        </row>
        <row r="55">
          <cell r="A55" t="str">
            <v>3.4</v>
          </cell>
          <cell r="B55" t="str">
            <v>Fornecimento e assentamento sobre pladur de chapas de vidro pintado, tipo Lacobel, de cor branca RAL 9010, incluindo todos os trabalhos necessários à sua boa execução.</v>
          </cell>
          <cell r="C55" t="str">
            <v>m²</v>
          </cell>
          <cell r="D55">
            <v>45</v>
          </cell>
          <cell r="E55">
            <v>86.67</v>
          </cell>
          <cell r="F55">
            <v>3900.15</v>
          </cell>
        </row>
        <row r="57">
          <cell r="A57" t="str">
            <v>3.5</v>
          </cell>
          <cell r="B57" t="str">
            <v>Fornecimento e assentamento de chapas de vidro transparente temperado com efeito de serigrafia tipo impressão digital, de 8mm de espessura, sobre pladur, incluindo todos os trabalhos necessários à sua boa execução.</v>
          </cell>
          <cell r="C57" t="str">
            <v>m²</v>
          </cell>
          <cell r="D57">
            <v>18.5</v>
          </cell>
          <cell r="E57">
            <v>160</v>
          </cell>
          <cell r="F57">
            <v>2960</v>
          </cell>
        </row>
        <row r="59">
          <cell r="A59" t="str">
            <v>3.6</v>
          </cell>
          <cell r="B59" t="str">
            <v>Fornecimento e aplicação de mosaico cerâmico (I.S.), Margrés “Extreme” extra white 30X60, incluindo todos os trabalhos necessários ao seu bom acabamento.</v>
          </cell>
          <cell r="C59" t="str">
            <v>m²</v>
          </cell>
          <cell r="D59">
            <v>45</v>
          </cell>
          <cell r="E59">
            <v>74.37</v>
          </cell>
          <cell r="F59">
            <v>3346.65</v>
          </cell>
        </row>
        <row r="61">
          <cell r="A61" t="str">
            <v>Opção</v>
          </cell>
          <cell r="B61" t="str">
            <v>Fornecimento e aplicação de mosaico cerâmico (I.S.), tipo cinca incluindo todos os trabalhos necessários ao seu bom acabamento.</v>
          </cell>
          <cell r="C61" t="str">
            <v>m²</v>
          </cell>
          <cell r="D61">
            <v>45</v>
          </cell>
          <cell r="E61">
            <v>39.11</v>
          </cell>
        </row>
        <row r="63">
          <cell r="A63" t="str">
            <v>3.7</v>
          </cell>
          <cell r="B63" t="str">
            <v>Fornecimento e aplicação de vidro pintado  (I.S.), (tipo lacobel) de cor preta RAL 9005, incluindo todos os trabalhos necessários ao seu bom acabamento.</v>
          </cell>
          <cell r="C63" t="str">
            <v>m²</v>
          </cell>
          <cell r="D63">
            <v>7.7</v>
          </cell>
          <cell r="E63">
            <v>86.67</v>
          </cell>
          <cell r="F63">
            <v>667.35900000000004</v>
          </cell>
        </row>
        <row r="65">
          <cell r="A65" t="str">
            <v>3.8</v>
          </cell>
          <cell r="B65" t="str">
            <v>Fornecimento e aplicação de silestone (COPA), Mont Blanc, incluindo todos os trabalhos necessários ao seu bom acabamento.</v>
          </cell>
          <cell r="C65" t="str">
            <v>m²</v>
          </cell>
          <cell r="D65">
            <v>2.4</v>
          </cell>
          <cell r="E65">
            <v>239.97</v>
          </cell>
          <cell r="F65">
            <v>575.928</v>
          </cell>
        </row>
        <row r="67">
          <cell r="A67" t="str">
            <v>Opção</v>
          </cell>
          <cell r="B67" t="str">
            <v>Fornecimento e aplicação de mosaico tipo Cinca incluindo todos os trabalhos necessários ao seu bom acabamento.</v>
          </cell>
          <cell r="C67" t="str">
            <v>m²</v>
          </cell>
          <cell r="D67">
            <v>2.4</v>
          </cell>
          <cell r="E67">
            <v>39.11</v>
          </cell>
        </row>
        <row r="69">
          <cell r="A69" t="str">
            <v>3.9</v>
          </cell>
          <cell r="B69" t="str">
            <v>Fornecimento e aplicação de chapas de policarbonato 16mm de espessura (RECEPÇÃO), incluindo todos os trabalhos necessários ao seu bom acabamento, conforme desenho de pormenor.</v>
          </cell>
          <cell r="C69" t="str">
            <v>m²</v>
          </cell>
          <cell r="D69">
            <v>13</v>
          </cell>
          <cell r="E69">
            <v>54.67</v>
          </cell>
          <cell r="F69">
            <v>710.71</v>
          </cell>
        </row>
        <row r="71">
          <cell r="A71" t="str">
            <v>4</v>
          </cell>
          <cell r="B71" t="str">
            <v>PAVIMENTOS</v>
          </cell>
          <cell r="F71">
            <v>29004.362000000001</v>
          </cell>
        </row>
        <row r="73">
          <cell r="A73" t="str">
            <v>4.1</v>
          </cell>
          <cell r="B73" t="str">
            <v>Fornecimento e aplicação de mosaico cerâmico,  (I.S.), Margrés “Extreme” Extra White 30X60cm, incluindo todos os trabalhos necessários ao seu bom acabamento.</v>
          </cell>
          <cell r="C73" t="str">
            <v>m²</v>
          </cell>
          <cell r="D73">
            <v>12</v>
          </cell>
          <cell r="E73">
            <v>74.37</v>
          </cell>
          <cell r="F73">
            <v>892.44</v>
          </cell>
        </row>
        <row r="75">
          <cell r="A75" t="str">
            <v>Opção</v>
          </cell>
          <cell r="B75" t="str">
            <v>Fornecimento e aplicação de mosaico cerâmico,  (I.S.), tipo Cinca, incluindo todos os trabalhos necessários ao seu bom acabamento.</v>
          </cell>
          <cell r="C75" t="str">
            <v>m²</v>
          </cell>
          <cell r="D75">
            <v>12</v>
          </cell>
          <cell r="E75">
            <v>39.11</v>
          </cell>
        </row>
        <row r="77">
          <cell r="A77" t="str">
            <v>4.2</v>
          </cell>
          <cell r="B77" t="str">
            <v>Fornecimento e aplicação de mosaico cerâmico,  (I.S.), Margrés “Extreme” Extra White 60X120cm, incluindo todos os trabalhos necessários ao seu bom acabamento.</v>
          </cell>
          <cell r="C77" t="str">
            <v>m²</v>
          </cell>
          <cell r="D77">
            <v>10</v>
          </cell>
          <cell r="E77">
            <v>109.64</v>
          </cell>
          <cell r="F77">
            <v>1096.4000000000001</v>
          </cell>
        </row>
        <row r="79">
          <cell r="A79" t="str">
            <v>Opção</v>
          </cell>
          <cell r="B79" t="str">
            <v>Fornecimento e aplicação de mosaico cerâmico,  (I.S.), tipo cinca incluindo todos os trabalhos necessários ao seu bom acabamento.</v>
          </cell>
          <cell r="C79" t="str">
            <v>m²</v>
          </cell>
          <cell r="D79">
            <v>10</v>
          </cell>
          <cell r="E79">
            <v>39.11</v>
          </cell>
        </row>
        <row r="81">
          <cell r="A81" t="str">
            <v>4.3</v>
          </cell>
          <cell r="B81" t="str">
            <v>Fornecimento e aplicação de alcatifa, autoposante 50X50, da InterfaceFlor REFª Tapestry 303416, incluindo todos os trabalhos necessários ao seu bom acabamento.</v>
          </cell>
          <cell r="C81" t="str">
            <v>m²</v>
          </cell>
          <cell r="D81">
            <v>685</v>
          </cell>
          <cell r="E81">
            <v>38.53</v>
          </cell>
          <cell r="F81">
            <v>26393.05</v>
          </cell>
        </row>
        <row r="83">
          <cell r="A83" t="str">
            <v>4.4</v>
          </cell>
          <cell r="B83" t="str">
            <v>Fornecimento e aplicação de silestone (COPA), Mont Blanc, incluindo todos os trabalhos necessários ao seu bom acabamento.</v>
          </cell>
          <cell r="C83" t="str">
            <v>m²</v>
          </cell>
          <cell r="D83">
            <v>2.2999999999999998</v>
          </cell>
          <cell r="E83">
            <v>270.64</v>
          </cell>
          <cell r="F83">
            <v>622.47199999999987</v>
          </cell>
        </row>
        <row r="85">
          <cell r="A85" t="str">
            <v>Opção</v>
          </cell>
          <cell r="B85" t="str">
            <v>Fornecimento e aplicação de mosaico tipo Cinca (COPA),  incluindo todos os trabalhos necessários ao seu bom acabamento.</v>
          </cell>
          <cell r="C85" t="str">
            <v>m²</v>
          </cell>
          <cell r="D85">
            <v>2.2999999999999998</v>
          </cell>
          <cell r="E85">
            <v>39.11</v>
          </cell>
        </row>
        <row r="87">
          <cell r="A87" t="str">
            <v>5</v>
          </cell>
          <cell r="B87" t="str">
            <v>TECTOS</v>
          </cell>
          <cell r="F87">
            <v>3754.63</v>
          </cell>
        </row>
        <row r="89">
          <cell r="A89" t="str">
            <v>5.1</v>
          </cell>
          <cell r="B89" t="str">
            <v>Fornecimento e montagem de tecto falso em placas de gesso cartonado, tipo PLADUR, (2,50m de altura), de acordo com Planta de Tectos, incluindo estrutura de suporte e alhetas de remate ou sancas, pinturas e todos os trabalhos necessários à sua boa execução</v>
          </cell>
          <cell r="C89" t="str">
            <v>m²</v>
          </cell>
          <cell r="D89">
            <v>90</v>
          </cell>
          <cell r="E89">
            <v>31.03</v>
          </cell>
          <cell r="F89">
            <v>2792.7000000000003</v>
          </cell>
        </row>
        <row r="91">
          <cell r="B91" t="str">
            <v>Fornecimento e montagem de tecto falso em placas de gesso cartonado, tipo PLADUR hidrófugo, (2,40m de altura), de acordo com Planta de Tectos, incluindo estrutura de suporte e alhetas de remate ou sancas, pinturas e todos os trabalhos necessários à sua bo</v>
          </cell>
          <cell r="C91" t="str">
            <v>m²</v>
          </cell>
          <cell r="D91">
            <v>31</v>
          </cell>
          <cell r="E91">
            <v>31.03</v>
          </cell>
          <cell r="F91">
            <v>961.93000000000006</v>
          </cell>
        </row>
        <row r="93">
          <cell r="A93" t="str">
            <v>6</v>
          </cell>
          <cell r="B93" t="str">
            <v>VÃOS</v>
          </cell>
          <cell r="F93">
            <v>20550.899999999998</v>
          </cell>
        </row>
        <row r="95">
          <cell r="A95" t="str">
            <v>6.1</v>
          </cell>
          <cell r="B95" t="str">
            <v>Fornecimento e  montagem de porta pivotante, em vidro transparente temperado de 8mm de espessura tipo serigrafado com impressão digital de apenas 1 face, incluindo estrutura de suporte, dobradiças de mola no pavimento, puxadores da JNF nas duas faces, e t</v>
          </cell>
        </row>
        <row r="97">
          <cell r="B97" t="str">
            <v>V1 -1,50x2,50m</v>
          </cell>
          <cell r="C97" t="str">
            <v>un</v>
          </cell>
          <cell r="D97">
            <v>2</v>
          </cell>
          <cell r="E97">
            <v>1026.93</v>
          </cell>
          <cell r="F97">
            <v>2053.86</v>
          </cell>
        </row>
        <row r="99">
          <cell r="B99" t="str">
            <v>Puxador  - JNF refª I.N.07.286 diam.25mm  alt.1800mm</v>
          </cell>
          <cell r="C99" t="str">
            <v>un</v>
          </cell>
          <cell r="D99">
            <v>2</v>
          </cell>
          <cell r="E99">
            <v>263.47000000000003</v>
          </cell>
          <cell r="F99">
            <v>526.94000000000005</v>
          </cell>
        </row>
        <row r="100">
          <cell r="B100" t="str">
            <v>Batente de pav.  - TUPAI refª 1699</v>
          </cell>
          <cell r="C100" t="str">
            <v>un</v>
          </cell>
          <cell r="D100">
            <v>2</v>
          </cell>
          <cell r="E100">
            <v>5.04</v>
          </cell>
          <cell r="F100">
            <v>10.08</v>
          </cell>
        </row>
        <row r="102">
          <cell r="A102" t="str">
            <v>6.2</v>
          </cell>
          <cell r="B102" t="str">
            <v>Fornecimento e  montagem de porta pivotante, em MDF de 30mm de espessura, lacada na cor branca, incluindo estrutura de suporte, dobradiças de mola no pavimento, puxadores da JNF nas duas faces, e todos os trabalhos necessários à sua boa execução.</v>
          </cell>
        </row>
        <row r="104">
          <cell r="B104" t="str">
            <v>V1a -1,50x2,50m</v>
          </cell>
          <cell r="C104" t="str">
            <v>un</v>
          </cell>
          <cell r="D104">
            <v>1</v>
          </cell>
          <cell r="E104">
            <v>1053.33</v>
          </cell>
          <cell r="F104">
            <v>1053.33</v>
          </cell>
        </row>
        <row r="106">
          <cell r="B106" t="str">
            <v>Puxador  - JNF refª I.N.07.286 diam.25mm  alt.1800mm</v>
          </cell>
          <cell r="F106" t="str">
            <v>Incluido</v>
          </cell>
        </row>
        <row r="107">
          <cell r="B107" t="str">
            <v>Batente de pav.  - TUPAI refª 1699</v>
          </cell>
          <cell r="F107" t="str">
            <v>Incluido</v>
          </cell>
        </row>
        <row r="109">
          <cell r="A109" t="str">
            <v>6.3</v>
          </cell>
          <cell r="B109" t="str">
            <v>Fornecimento e  montagem de porta de batente, em MDF de 30mm de espessura, lacada na cor branca, revestida a policarbonato c\ caixa de luz, incluindo estrutura de suporte, dobradiças de mola, puxador da JNF numa das faces, e todos os trabalhos necessários</v>
          </cell>
        </row>
        <row r="111">
          <cell r="B111" t="str">
            <v xml:space="preserve">V2 – 1,02x2,50m </v>
          </cell>
          <cell r="C111" t="str">
            <v>un</v>
          </cell>
          <cell r="D111">
            <v>1</v>
          </cell>
          <cell r="E111">
            <v>1413.33</v>
          </cell>
          <cell r="F111">
            <v>1413.33</v>
          </cell>
        </row>
        <row r="113">
          <cell r="B113" t="str">
            <v>Puxador  - JNF refª I.N.07.286 diam.20mm  alt.300mm</v>
          </cell>
          <cell r="F113" t="str">
            <v>Incluido</v>
          </cell>
        </row>
        <row r="114">
          <cell r="B114" t="str">
            <v>Batente de pav.  - TUPAI refª 1699</v>
          </cell>
          <cell r="F114" t="str">
            <v>Incluido</v>
          </cell>
        </row>
        <row r="116">
          <cell r="A116" t="str">
            <v>6.4</v>
          </cell>
          <cell r="B116" t="str">
            <v>Fornecimento e montagem de porta de batente engradada, (tipo placarol), aduelas, ferragens, fechaduras e puxadores da TUPAI, incluindo lacagem a bege, cor a definir, e todos os acessórios necessários ao seu bom funcionamento</v>
          </cell>
        </row>
        <row r="118">
          <cell r="B118" t="str">
            <v xml:space="preserve">V3 – 1,00x2,50m </v>
          </cell>
          <cell r="C118" t="str">
            <v>un</v>
          </cell>
          <cell r="D118">
            <v>6</v>
          </cell>
          <cell r="E118">
            <v>746.67</v>
          </cell>
          <cell r="F118">
            <v>4480.0199999999995</v>
          </cell>
        </row>
        <row r="120">
          <cell r="B120" t="str">
            <v xml:space="preserve">Puxador  - TUPAI refª 2020 </v>
          </cell>
          <cell r="F120" t="str">
            <v>Incluido</v>
          </cell>
        </row>
        <row r="121">
          <cell r="B121" t="str">
            <v>Batente de pav.  - TUPAI refª 1699</v>
          </cell>
          <cell r="F121" t="str">
            <v>Incluido</v>
          </cell>
        </row>
        <row r="123">
          <cell r="A123" t="str">
            <v>6.5</v>
          </cell>
          <cell r="B123" t="str">
            <v>Fornecimento e montagem de porta de batente engradada, (tipo placarol), lacada a branco (interior), revestida a MDF, lacada a bege (exterior), aduelas, ferragens, fechaduras e puxadores da JNF só p\ o interior, incluindo todos os acessórios necessários ao</v>
          </cell>
        </row>
        <row r="125">
          <cell r="B125" t="str">
            <v xml:space="preserve">V4 – 0,75x2,00m </v>
          </cell>
          <cell r="C125" t="str">
            <v>un</v>
          </cell>
          <cell r="D125">
            <v>3</v>
          </cell>
          <cell r="E125">
            <v>613.33000000000004</v>
          </cell>
          <cell r="F125">
            <v>1839.9900000000002</v>
          </cell>
        </row>
        <row r="127">
          <cell r="B127" t="str">
            <v>Puxador  - JNF refª I.N.07.286 diam.20mm  alt.300mm</v>
          </cell>
          <cell r="F127" t="str">
            <v>Incluido</v>
          </cell>
        </row>
        <row r="128">
          <cell r="B128" t="str">
            <v>Batente de pav.  - TUPAI refª 1699</v>
          </cell>
          <cell r="F128" t="str">
            <v>Incluido</v>
          </cell>
        </row>
        <row r="130">
          <cell r="A130" t="str">
            <v>6.6</v>
          </cell>
          <cell r="B130" t="str">
            <v>Fornecimento e montagem de porta de batente engradada, (tipo placarol), lacada a bege, aduelas, ferragens, fechaduras e puxadores da TUPAI, nas duas faces, e todos os trabalhos necessários à sua boa execução.</v>
          </cell>
        </row>
        <row r="132">
          <cell r="B132" t="str">
            <v xml:space="preserve">V5 – 1,00x2,50m </v>
          </cell>
          <cell r="C132" t="str">
            <v>un</v>
          </cell>
          <cell r="D132">
            <v>9</v>
          </cell>
          <cell r="E132">
            <v>746.67</v>
          </cell>
          <cell r="F132">
            <v>6720.03</v>
          </cell>
        </row>
        <row r="134">
          <cell r="B134" t="str">
            <v xml:space="preserve">Puxador  - TUPAI refª 2020 </v>
          </cell>
          <cell r="F134" t="str">
            <v>Incluido</v>
          </cell>
        </row>
        <row r="135">
          <cell r="B135" t="str">
            <v>Batente de pav.  - TUPAI refª 1699</v>
          </cell>
          <cell r="F135" t="str">
            <v>Incluido</v>
          </cell>
        </row>
        <row r="137">
          <cell r="A137" t="str">
            <v>Opção</v>
          </cell>
          <cell r="B137" t="str">
            <v>Fornecimento e montagem de módulo de porta simples de batente Clestra Hauserman linha "Loft" constituída por folha de porta aglomerado de madeira revestida em melamina na cor a definir, com altura total, incluindo puxador e fechadura.</v>
          </cell>
        </row>
        <row r="139">
          <cell r="B139" t="str">
            <v xml:space="preserve">V5 – 1,00x3,00m </v>
          </cell>
          <cell r="C139" t="str">
            <v>un</v>
          </cell>
          <cell r="D139">
            <v>9</v>
          </cell>
          <cell r="E139">
            <v>800</v>
          </cell>
        </row>
        <row r="141">
          <cell r="B141" t="str">
            <v xml:space="preserve">Puxador  - TUPAI refª 2020 </v>
          </cell>
          <cell r="F141" t="str">
            <v>Incluido</v>
          </cell>
        </row>
        <row r="142">
          <cell r="B142" t="str">
            <v>Batente de pav.  - TUPAI refª 1699</v>
          </cell>
          <cell r="F142" t="str">
            <v>Incluido</v>
          </cell>
        </row>
        <row r="144">
          <cell r="A144" t="str">
            <v>6.7</v>
          </cell>
          <cell r="B144" t="str">
            <v>Fornecimento e montagem de porta de batente engradada, (tipo placarol), lacada a branco, aduelas, ferragens, fechaduras e puxadores da TUPAI, nas duas faces, e todos os trabalhos necessários à sua boa execução.</v>
          </cell>
        </row>
        <row r="146">
          <cell r="B146" t="str">
            <v xml:space="preserve">V6 – 0,75x2,00m </v>
          </cell>
          <cell r="C146" t="str">
            <v>un</v>
          </cell>
          <cell r="D146">
            <v>4</v>
          </cell>
          <cell r="E146">
            <v>613.33000000000004</v>
          </cell>
          <cell r="F146">
            <v>2453.3200000000002</v>
          </cell>
        </row>
        <row r="148">
          <cell r="B148" t="str">
            <v xml:space="preserve">Puxador  - TUPAI refª 2020 </v>
          </cell>
          <cell r="F148" t="str">
            <v>Incluido</v>
          </cell>
        </row>
        <row r="149">
          <cell r="B149" t="str">
            <v>Batente de pav.  - TUPAI refª 1699</v>
          </cell>
          <cell r="F149" t="str">
            <v>Incluido</v>
          </cell>
        </row>
        <row r="151">
          <cell r="A151" t="str">
            <v>7</v>
          </cell>
          <cell r="B151" t="str">
            <v>ARMÁRIOS</v>
          </cell>
          <cell r="F151">
            <v>12920.02</v>
          </cell>
        </row>
        <row r="153">
          <cell r="A153" t="str">
            <v>7.1</v>
          </cell>
          <cell r="B153" t="str">
            <v>Fornecimento e assentamento de armários com portas e prateleiras em MDF para lacar, revestimento interior em MDF, incluindo ilhargas, dobradiças, puxadores, fechos, fechaduras e todos os trabalhos necessários à sua boa execução, conforme mapa de armários.</v>
          </cell>
          <cell r="C153" t="str">
            <v>un</v>
          </cell>
          <cell r="D153">
            <v>4</v>
          </cell>
        </row>
        <row r="155">
          <cell r="B155" t="str">
            <v xml:space="preserve">Armários (ARM1) </v>
          </cell>
        </row>
        <row r="156">
          <cell r="B156" t="str">
            <v>5,10 x 0,45m (h=2,80m)</v>
          </cell>
          <cell r="C156" t="str">
            <v>un</v>
          </cell>
          <cell r="D156">
            <v>1</v>
          </cell>
          <cell r="E156">
            <v>3866.67</v>
          </cell>
          <cell r="F156">
            <v>3866.67</v>
          </cell>
        </row>
        <row r="157">
          <cell r="A157" t="str">
            <v>Opção</v>
          </cell>
          <cell r="B157" t="str">
            <v xml:space="preserve">Opção em laminado - Armários (ARM1) </v>
          </cell>
        </row>
        <row r="158">
          <cell r="B158" t="str">
            <v>5,10 x 0,45m (h=2,80m)</v>
          </cell>
          <cell r="C158" t="str">
            <v>un</v>
          </cell>
          <cell r="D158">
            <v>1</v>
          </cell>
          <cell r="E158">
            <v>2266.67</v>
          </cell>
        </row>
        <row r="159">
          <cell r="B159" t="str">
            <v xml:space="preserve">Armários (ARM2) </v>
          </cell>
        </row>
        <row r="160">
          <cell r="B160" t="str">
            <v>3,366 x 0,30m (h=2,80m)</v>
          </cell>
          <cell r="C160" t="str">
            <v>un</v>
          </cell>
          <cell r="D160">
            <v>1</v>
          </cell>
          <cell r="E160">
            <v>2786.67</v>
          </cell>
          <cell r="F160">
            <v>2786.67</v>
          </cell>
        </row>
        <row r="161">
          <cell r="A161" t="str">
            <v>Opção</v>
          </cell>
          <cell r="B161" t="str">
            <v xml:space="preserve">Opção em laminado - Armários (ARM2) </v>
          </cell>
        </row>
        <row r="162">
          <cell r="B162" t="str">
            <v>3,366 x 0,30m (h=2,80m)</v>
          </cell>
          <cell r="C162" t="str">
            <v>un</v>
          </cell>
          <cell r="D162">
            <v>1</v>
          </cell>
          <cell r="E162">
            <v>1800</v>
          </cell>
        </row>
        <row r="163">
          <cell r="B163" t="str">
            <v xml:space="preserve">Armários (ARM3) </v>
          </cell>
        </row>
        <row r="164">
          <cell r="B164" t="str">
            <v>3,36 x 0,30m (h=2,80m)</v>
          </cell>
          <cell r="C164" t="str">
            <v>un</v>
          </cell>
          <cell r="D164">
            <v>2</v>
          </cell>
          <cell r="E164">
            <v>2786.67</v>
          </cell>
          <cell r="F164">
            <v>5573.34</v>
          </cell>
        </row>
        <row r="165">
          <cell r="A165" t="str">
            <v>Opção</v>
          </cell>
          <cell r="B165" t="str">
            <v xml:space="preserve">Opção em laminado - Armários (ARM3) </v>
          </cell>
        </row>
        <row r="166">
          <cell r="B166" t="str">
            <v>3,36 x 0,30m (h=2,80m)</v>
          </cell>
          <cell r="C166" t="str">
            <v>un</v>
          </cell>
          <cell r="D166">
            <v>2</v>
          </cell>
          <cell r="E166">
            <v>1800</v>
          </cell>
        </row>
        <row r="167">
          <cell r="B167" t="str">
            <v xml:space="preserve">Armários (ARM4) </v>
          </cell>
        </row>
        <row r="168">
          <cell r="B168" t="str">
            <v>0,90 x 0,45m (prateleiras c\ 20mm esp.)</v>
          </cell>
          <cell r="C168" t="str">
            <v>un</v>
          </cell>
          <cell r="D168">
            <v>5</v>
          </cell>
          <cell r="E168">
            <v>48</v>
          </cell>
          <cell r="F168">
            <v>240</v>
          </cell>
        </row>
        <row r="170">
          <cell r="A170" t="str">
            <v>7.2</v>
          </cell>
          <cell r="B170" t="str">
            <v>Fornecimento e execução de portas e prateleira em mdf lacada à cor branca (wc´s direcção), incluindo todos os trabalhos necessários à sua boa execução.</v>
          </cell>
        </row>
        <row r="172">
          <cell r="B172" t="str">
            <v>Portas</v>
          </cell>
        </row>
        <row r="173">
          <cell r="B173" t="str">
            <v>0,85 x 0,60 (esp.=20mm)</v>
          </cell>
          <cell r="C173" t="str">
            <v>un</v>
          </cell>
          <cell r="D173">
            <v>4</v>
          </cell>
          <cell r="E173">
            <v>66.67</v>
          </cell>
          <cell r="F173">
            <v>266.68</v>
          </cell>
        </row>
        <row r="174">
          <cell r="B174" t="str">
            <v>Prateleira</v>
          </cell>
        </row>
        <row r="175">
          <cell r="B175" t="str">
            <v>1,20 x 0,60 (esp.=20mm)</v>
          </cell>
          <cell r="C175" t="str">
            <v>un</v>
          </cell>
          <cell r="D175">
            <v>2</v>
          </cell>
          <cell r="E175">
            <v>93.33</v>
          </cell>
          <cell r="F175">
            <v>186.66</v>
          </cell>
        </row>
        <row r="177">
          <cell r="A177" t="str">
            <v>8</v>
          </cell>
          <cell r="B177" t="str">
            <v>RODAPÉS</v>
          </cell>
          <cell r="F177">
            <v>1703.6999999999998</v>
          </cell>
        </row>
        <row r="179">
          <cell r="A179" t="str">
            <v>8.1</v>
          </cell>
          <cell r="B179" t="str">
            <v>Fornecimento e assentamento de rodapé contínuo em perfil U (0,02m) lacado a tinta de esmalte cinzenta, incluindo fixações e acessórios necessários ao seu bom acabamento, conforme pormenor.</v>
          </cell>
          <cell r="C179" t="str">
            <v>m</v>
          </cell>
          <cell r="D179">
            <v>270</v>
          </cell>
          <cell r="E179">
            <v>6.31</v>
          </cell>
          <cell r="F179">
            <v>1703.6999999999998</v>
          </cell>
        </row>
        <row r="181">
          <cell r="A181" t="str">
            <v>9</v>
          </cell>
          <cell r="B181" t="str">
            <v>SANCAS</v>
          </cell>
          <cell r="F181">
            <v>0</v>
          </cell>
        </row>
        <row r="183">
          <cell r="A183" t="str">
            <v>9.1</v>
          </cell>
          <cell r="B183" t="str">
            <v>Execução de alheta reentrante com 0,02m de largura e 0,01m de profundidade, para pintar com tinta plástica de cor a definir em obra, incluindo todos os trabalhos necessários à sua boa execução.</v>
          </cell>
          <cell r="F183" t="str">
            <v>Incluido</v>
          </cell>
        </row>
        <row r="185">
          <cell r="A185" t="str">
            <v>10</v>
          </cell>
          <cell r="B185" t="str">
            <v>INSTALAÇÕES SANITÁRIAS – LOIÇAS</v>
          </cell>
          <cell r="F185">
            <v>7866.1400000000012</v>
          </cell>
        </row>
        <row r="187">
          <cell r="A187" t="str">
            <v>10.1</v>
          </cell>
          <cell r="B187" t="str">
            <v>Fornecimento e assentamento de loiças\torneiras, (wc administração), incluindo todos os acessórios necessários ao seu bom funcionamento:</v>
          </cell>
        </row>
        <row r="189">
          <cell r="A189" t="str">
            <v>10.1.1</v>
          </cell>
          <cell r="B189" t="str">
            <v>Sanita – GSI,  PANORAMA, big suspenso REFª6612</v>
          </cell>
          <cell r="C189" t="str">
            <v>un</v>
          </cell>
          <cell r="D189">
            <v>2</v>
          </cell>
          <cell r="E189">
            <v>704.88</v>
          </cell>
          <cell r="F189">
            <v>1409.76</v>
          </cell>
        </row>
        <row r="191">
          <cell r="A191" t="str">
            <v>Opção</v>
          </cell>
          <cell r="B191" t="str">
            <v>Sanita  suspensa em loiça branca tipo Sanitana modelo Munique</v>
          </cell>
          <cell r="C191" t="str">
            <v>un</v>
          </cell>
          <cell r="D191">
            <v>2</v>
          </cell>
          <cell r="E191">
            <v>421.97</v>
          </cell>
        </row>
        <row r="193">
          <cell r="A193" t="str">
            <v>10.1.2</v>
          </cell>
          <cell r="B193" t="str">
            <v>Bidé – GSI, PANORAMA, big suspenso REFª6665</v>
          </cell>
          <cell r="C193" t="str">
            <v>un</v>
          </cell>
          <cell r="D193">
            <v>2</v>
          </cell>
          <cell r="E193">
            <v>505.05</v>
          </cell>
          <cell r="F193">
            <v>1010.1</v>
          </cell>
        </row>
        <row r="195">
          <cell r="A195" t="str">
            <v>Opção</v>
          </cell>
          <cell r="B195" t="str">
            <v>Bidé  suspensa em loiça branca tipo Sanitana modelo Munique</v>
          </cell>
          <cell r="C195" t="str">
            <v>un</v>
          </cell>
          <cell r="D195">
            <v>2</v>
          </cell>
          <cell r="E195">
            <v>256.64999999999998</v>
          </cell>
        </row>
        <row r="197">
          <cell r="A197" t="str">
            <v>10.1.3</v>
          </cell>
          <cell r="B197" t="str">
            <v xml:space="preserve">Lavatório + Móvel suspenso – BELLAVISTA, móvel Cubic 80 </v>
          </cell>
          <cell r="C197" t="str">
            <v>un</v>
          </cell>
          <cell r="D197">
            <v>2</v>
          </cell>
          <cell r="E197">
            <v>1021.97</v>
          </cell>
          <cell r="F197">
            <v>2043.94</v>
          </cell>
        </row>
        <row r="199">
          <cell r="A199" t="str">
            <v>Opção</v>
          </cell>
          <cell r="B199" t="str">
            <v>Lavatório  suspensa em loiça branca tipo Sanitana modelo Munique</v>
          </cell>
          <cell r="C199" t="str">
            <v>un</v>
          </cell>
          <cell r="D199">
            <v>2</v>
          </cell>
          <cell r="E199">
            <v>670.57</v>
          </cell>
        </row>
        <row r="201">
          <cell r="A201" t="str">
            <v>10.1.4</v>
          </cell>
          <cell r="B201" t="str">
            <v>Torneira  - monocomando de lavatório VALADARES modelo Assi,  refª 50645012</v>
          </cell>
          <cell r="C201" t="str">
            <v>un</v>
          </cell>
          <cell r="D201">
            <v>2</v>
          </cell>
          <cell r="E201">
            <v>220.04</v>
          </cell>
          <cell r="F201">
            <v>440.08</v>
          </cell>
        </row>
        <row r="203">
          <cell r="A203" t="str">
            <v>Opção</v>
          </cell>
          <cell r="B203" t="str">
            <v>Torneira  - monocomando  de lavatório da OFA Tubis ref.ªGCT7925</v>
          </cell>
          <cell r="C203" t="str">
            <v>un</v>
          </cell>
          <cell r="D203">
            <v>2</v>
          </cell>
          <cell r="E203">
            <v>95.07</v>
          </cell>
        </row>
        <row r="205">
          <cell r="A205" t="str">
            <v>10.1.4</v>
          </cell>
          <cell r="B205" t="str">
            <v>Torneira  - monocomando de bidé VALADARES modelo Assi,  refª 50645032</v>
          </cell>
          <cell r="C205" t="str">
            <v>un</v>
          </cell>
          <cell r="D205">
            <v>2</v>
          </cell>
          <cell r="E205">
            <v>213.91</v>
          </cell>
          <cell r="F205">
            <v>427.82</v>
          </cell>
        </row>
        <row r="207">
          <cell r="A207" t="str">
            <v>Opção</v>
          </cell>
          <cell r="B207" t="str">
            <v>Torneira  - monocomando  de bidé da OFA Tubis ref.ªGCT7925</v>
          </cell>
          <cell r="C207" t="str">
            <v>un</v>
          </cell>
          <cell r="D207">
            <v>2</v>
          </cell>
          <cell r="E207">
            <v>135.71</v>
          </cell>
        </row>
        <row r="209">
          <cell r="A209" t="str">
            <v>10.1.5</v>
          </cell>
          <cell r="B209" t="str">
            <v>Espelho cristal simples com 5mm espessura, colado sobre pladur – 2,00x1,60</v>
          </cell>
          <cell r="C209" t="str">
            <v>un</v>
          </cell>
          <cell r="D209">
            <v>2</v>
          </cell>
          <cell r="E209">
            <v>202.67</v>
          </cell>
          <cell r="F209">
            <v>405.34</v>
          </cell>
        </row>
        <row r="211">
          <cell r="A211" t="str">
            <v>10.2</v>
          </cell>
          <cell r="B211" t="str">
            <v>Fornecimento e assentamento de loiças\torneiras, (wc direcção), incluindo todos os acessórios necessários ao seu bom funcionamento:</v>
          </cell>
        </row>
        <row r="213">
          <cell r="A213" t="str">
            <v>10.2.1</v>
          </cell>
          <cell r="B213" t="str">
            <v>Sanita – conforme a existente “tipo Cifial”</v>
          </cell>
          <cell r="C213" t="str">
            <v>un</v>
          </cell>
          <cell r="D213">
            <v>2</v>
          </cell>
          <cell r="E213">
            <v>288.73</v>
          </cell>
          <cell r="F213">
            <v>577.46</v>
          </cell>
        </row>
        <row r="215">
          <cell r="A215" t="str">
            <v>10.2.2</v>
          </cell>
          <cell r="B215" t="str">
            <v>Lavatório – conforme existente “tipo cifial”</v>
          </cell>
          <cell r="C215" t="str">
            <v>un</v>
          </cell>
          <cell r="D215">
            <v>1</v>
          </cell>
          <cell r="E215">
            <v>131.63999999999999</v>
          </cell>
          <cell r="F215">
            <v>131.63999999999999</v>
          </cell>
        </row>
        <row r="217">
          <cell r="A217" t="str">
            <v>10.2.3</v>
          </cell>
          <cell r="B217" t="str">
            <v>Torneira  – conforme existente “tipo cifial”</v>
          </cell>
          <cell r="C217" t="str">
            <v>un</v>
          </cell>
          <cell r="D217">
            <v>1</v>
          </cell>
          <cell r="E217">
            <v>165.6</v>
          </cell>
          <cell r="F217">
            <v>165.6</v>
          </cell>
        </row>
        <row r="219">
          <cell r="A219" t="str">
            <v>10.2.3</v>
          </cell>
          <cell r="B219" t="str">
            <v>Fornecimento e montagem de divisória em fenólico, lacada na cor branca, igual à existente, incluindo todos os acessórios ao seu bom funcionamento. - Inclui 2 portas de batente e 2 divisórias</v>
          </cell>
          <cell r="C219" t="str">
            <v>un</v>
          </cell>
          <cell r="D219">
            <v>1</v>
          </cell>
          <cell r="E219">
            <v>1254.4000000000001</v>
          </cell>
          <cell r="F219">
            <v>1254.4000000000001</v>
          </cell>
        </row>
        <row r="221">
          <cell r="A221" t="str">
            <v>11</v>
          </cell>
          <cell r="B221" t="str">
            <v>COPA</v>
          </cell>
          <cell r="F221">
            <v>4896.3100000000004</v>
          </cell>
        </row>
        <row r="223">
          <cell r="A223" t="str">
            <v>11.1</v>
          </cell>
          <cell r="B223" t="str">
            <v>Fornecimento e montagem de móveis e prateleira c/ estrutura  e portas em post-forming,  cor branca RAL 9010, incluindo todos os trabalhos necessários ao seu bom funcionamento, conforme desenho pormenor.</v>
          </cell>
          <cell r="C223" t="str">
            <v>un</v>
          </cell>
          <cell r="D223">
            <v>1</v>
          </cell>
          <cell r="E223">
            <v>2133.33</v>
          </cell>
          <cell r="F223">
            <v>2133.33</v>
          </cell>
        </row>
        <row r="225">
          <cell r="A225" t="str">
            <v>11.2</v>
          </cell>
          <cell r="B225" t="str">
            <v>Fornecimento e assentamento de tampo em silestone, com 3 cm de espessura, “Mont Blanc”, incluindo fixações e acessórios necessários ao seu bom funcionamento, conforme desenhos.</v>
          </cell>
        </row>
        <row r="227">
          <cell r="B227" t="str">
            <v>3,35m X 0,60m</v>
          </cell>
          <cell r="C227" t="str">
            <v>un</v>
          </cell>
          <cell r="D227">
            <v>1</v>
          </cell>
          <cell r="E227">
            <v>828.77</v>
          </cell>
          <cell r="F227">
            <v>828.77</v>
          </cell>
        </row>
        <row r="229">
          <cell r="A229" t="str">
            <v>11.3</v>
          </cell>
          <cell r="B229" t="str">
            <v>Fornecimento e assentamento de cuba individual em aço inox da Teka modelo Linea 400400, incluindo fixações e acessórios necessários ao seu bom funcionamento.</v>
          </cell>
          <cell r="C229" t="str">
            <v>un</v>
          </cell>
          <cell r="D229">
            <v>1</v>
          </cell>
          <cell r="E229">
            <v>634.55999999999995</v>
          </cell>
          <cell r="F229">
            <v>634.55999999999995</v>
          </cell>
        </row>
        <row r="231">
          <cell r="A231" t="str">
            <v>Opção</v>
          </cell>
          <cell r="B231" t="str">
            <v>Fornecimento e assentamento de cuba individual em aço inox da Rodi,  incluindo fixações e acessórios necessários ao seu bom funcionamento.</v>
          </cell>
          <cell r="C231" t="str">
            <v>un</v>
          </cell>
          <cell r="D231">
            <v>1</v>
          </cell>
          <cell r="E231">
            <v>206.24</v>
          </cell>
        </row>
        <row r="233">
          <cell r="A233" t="str">
            <v>11.4</v>
          </cell>
          <cell r="B233" t="str">
            <v>Fornecimento e assentamento  de misturadora de banca c/ bica giratória, da Valadares mod. Assi, incluindo fixações e acessórios necessários ao seu bom funcionamento.</v>
          </cell>
          <cell r="C233" t="str">
            <v>un</v>
          </cell>
          <cell r="D233">
            <v>1</v>
          </cell>
          <cell r="E233">
            <v>195.2</v>
          </cell>
          <cell r="F233">
            <v>195.2</v>
          </cell>
        </row>
        <row r="235">
          <cell r="A235" t="str">
            <v>Opção</v>
          </cell>
          <cell r="B235" t="str">
            <v>Fornecimento e assentamento  de misturadora de banca  da OFA Stillo, incluindo fixações e acessórios necessários ao seu bom funcionamento.</v>
          </cell>
          <cell r="C235" t="str">
            <v>un</v>
          </cell>
          <cell r="D235">
            <v>1</v>
          </cell>
          <cell r="E235">
            <v>163.31</v>
          </cell>
        </row>
        <row r="237">
          <cell r="A237" t="str">
            <v>11.5</v>
          </cell>
          <cell r="B237" t="str">
            <v xml:space="preserve">Fornecimento e montagem de Frigorífico de encastrar Ariston BTSZ 1620 I - FIS 124 </v>
          </cell>
          <cell r="C237" t="str">
            <v>un</v>
          </cell>
          <cell r="D237">
            <v>1</v>
          </cell>
          <cell r="E237">
            <v>495.56</v>
          </cell>
          <cell r="F237">
            <v>495.56</v>
          </cell>
        </row>
        <row r="239">
          <cell r="A239" t="str">
            <v>11.6</v>
          </cell>
          <cell r="B239" t="str">
            <v>Fornecimento e montagem de Máquina de lavar loiça de encastrar Fagor 2LF-065IT</v>
          </cell>
          <cell r="C239" t="str">
            <v>un</v>
          </cell>
          <cell r="D239">
            <v>1</v>
          </cell>
          <cell r="E239">
            <v>608.89</v>
          </cell>
          <cell r="F239">
            <v>608.89</v>
          </cell>
        </row>
        <row r="241">
          <cell r="A241" t="str">
            <v>12</v>
          </cell>
          <cell r="B241" t="str">
            <v>DIVERSOS</v>
          </cell>
          <cell r="F241">
            <v>26617.915000000001</v>
          </cell>
        </row>
        <row r="243">
          <cell r="A243" t="str">
            <v>12.1</v>
          </cell>
          <cell r="B243" t="str">
            <v>Fornecimento e execução de balcão de atendimento com estrutura e tampo em MDF para pintar, revestido na frente, lados e tampo com vidro pintado (tipo lacobel) de cor branca RAL 9010, incluindo todos os trabalhos necessários à sua boa execução, conforme de</v>
          </cell>
          <cell r="C243" t="str">
            <v>un</v>
          </cell>
          <cell r="D243">
            <v>1</v>
          </cell>
          <cell r="E243">
            <v>2840</v>
          </cell>
          <cell r="F243">
            <v>2840</v>
          </cell>
        </row>
        <row r="245">
          <cell r="A245" t="str">
            <v>12.2</v>
          </cell>
          <cell r="B245" t="str">
            <v>Fornecimento e assentamento de tubos em alumínio lacados a branco, de dimensão variável, incluindo todos os trabalhos necessários à sua boa execução, conforme desenho de pormenor.</v>
          </cell>
        </row>
        <row r="247">
          <cell r="B247" t="str">
            <v>A = diâm. 10cm  B = diâm. 6Cm  C = diâm. 3Cm</v>
          </cell>
          <cell r="C247" t="str">
            <v>un</v>
          </cell>
          <cell r="D247">
            <v>45</v>
          </cell>
          <cell r="E247">
            <v>57.19</v>
          </cell>
          <cell r="F247">
            <v>2573.5499999999997</v>
          </cell>
        </row>
        <row r="249">
          <cell r="A249" t="str">
            <v>12.3</v>
          </cell>
          <cell r="B249" t="str">
            <v>Fornecimento e assentamento de vãos fixos em vidro (0,50m), transparente lâminado, com 5+5mm ou 10mm de espessura, perfis em alumínio na cor cinzenta, incluindo todas as fixações e acessórios necessários ao seu bom funcionamento, conforme desenho de porme</v>
          </cell>
          <cell r="C249" t="str">
            <v>m²</v>
          </cell>
          <cell r="D249">
            <v>9</v>
          </cell>
          <cell r="E249">
            <v>90.67</v>
          </cell>
          <cell r="F249">
            <v>816.03</v>
          </cell>
        </row>
        <row r="251">
          <cell r="A251" t="str">
            <v>12.4</v>
          </cell>
          <cell r="B251" t="str">
            <v>Fornecimento e assentamento de perfil c\ iluminação (zona da administração) contínuo em perfil U (0,10x0,10) lacado a tinta de esmalte cinzenta, incluindo fixações e acessórios necessários ao seu bom acabamento, conforme pormenor.</v>
          </cell>
          <cell r="C251" t="str">
            <v>m</v>
          </cell>
          <cell r="D251">
            <v>16</v>
          </cell>
          <cell r="E251">
            <v>249.55</v>
          </cell>
          <cell r="F251">
            <v>3992.8</v>
          </cell>
        </row>
        <row r="253">
          <cell r="A253" t="str">
            <v>12.5</v>
          </cell>
          <cell r="B253" t="str">
            <v>Fornecimento e assentamento de bandeira de portas em painéis de MDF ou madeira maciça, com 20mm de espessura, lacados na cor bege, cor a definir,  incluindo fixações e acessórios necessários ao seu bom funcionamento, conforme desenhos.</v>
          </cell>
          <cell r="F253" t="str">
            <v>Incluido</v>
          </cell>
        </row>
        <row r="255">
          <cell r="A255" t="str">
            <v>12.6</v>
          </cell>
          <cell r="B255" t="str">
            <v>Modificação da porta de entrada principal opaca, por um núcleo central em vidro emoldurado, pintada na cor branca, incluindo todos os trabalhos necessários ao seu bom funcionamento.</v>
          </cell>
        </row>
        <row r="257">
          <cell r="B257" t="str">
            <v>Zona central em vidro</v>
          </cell>
          <cell r="C257" t="str">
            <v>un</v>
          </cell>
          <cell r="D257">
            <v>1</v>
          </cell>
          <cell r="E257">
            <v>109.2</v>
          </cell>
          <cell r="F257">
            <v>109.2</v>
          </cell>
        </row>
        <row r="258">
          <cell r="B258" t="str">
            <v>1,80m x 0,70m</v>
          </cell>
        </row>
        <row r="260">
          <cell r="A260" t="str">
            <v>12.7</v>
          </cell>
          <cell r="B260" t="str">
            <v xml:space="preserve">Fornecimento e instalação de estores de rolo eléctricos, da Bandalux, com caixa e sistema terminal oculto, incluindo todos os acessórios necessários ao seu bom funcionamento. </v>
          </cell>
        </row>
        <row r="262">
          <cell r="B262" t="str">
            <v xml:space="preserve"> (h = aprox. 3,00m)</v>
          </cell>
          <cell r="C262" t="str">
            <v>m</v>
          </cell>
          <cell r="D262">
            <v>81.5</v>
          </cell>
          <cell r="E262">
            <v>194.09</v>
          </cell>
          <cell r="F262">
            <v>15818.335000000001</v>
          </cell>
        </row>
        <row r="264">
          <cell r="A264" t="str">
            <v>Opção</v>
          </cell>
          <cell r="B264" t="str">
            <v xml:space="preserve">Fornecimento e instalação de estores de rolo manuais, da Hofesa incluindo todos os acessórios necessários ao seu bom funcionamento. </v>
          </cell>
        </row>
        <row r="266">
          <cell r="B266" t="str">
            <v xml:space="preserve"> (h = aprox. 3,00m)</v>
          </cell>
          <cell r="C266" t="str">
            <v>m</v>
          </cell>
          <cell r="D266">
            <v>81.5</v>
          </cell>
          <cell r="E266">
            <v>109.36</v>
          </cell>
        </row>
        <row r="268">
          <cell r="A268" t="str">
            <v>12.8</v>
          </cell>
          <cell r="B268" t="str">
            <v>Fornecimento e montagem de Placa em acrílico com logotipo da empresa (ENTRADA PRINCIPAL), 2 cm de espessura, lacado na cor branca, fixo à parede por peças cromadas.</v>
          </cell>
        </row>
        <row r="270">
          <cell r="B270" t="str">
            <v>1,20m x 1,20m</v>
          </cell>
          <cell r="C270" t="str">
            <v>un</v>
          </cell>
          <cell r="D270">
            <v>1</v>
          </cell>
          <cell r="E270">
            <v>468</v>
          </cell>
          <cell r="F270">
            <v>468</v>
          </cell>
        </row>
        <row r="272">
          <cell r="A272" t="str">
            <v>TOTAL ORÇAMENTO</v>
          </cell>
          <cell r="F272">
            <v>151892.59400000001</v>
          </cell>
        </row>
      </sheetData>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o"/>
      <sheetName val="Arquitectura"/>
      <sheetName val="AVAC"/>
      <sheetName val=" AGUAS E ESGOTOS"/>
      <sheetName val="E (2)"/>
      <sheetName val="D"/>
      <sheetName val="S"/>
      <sheetName val="T"/>
      <sheetName val="K"/>
      <sheetName val="V"/>
      <sheetName val="Arq - Erros e Omi"/>
      <sheetName val="IE - Erros e Omi"/>
      <sheetName val="Aguas - Erros e Omi"/>
    </sheetNames>
    <sheetDataSet>
      <sheetData sheetId="0" refreshError="1"/>
      <sheetData sheetId="1" refreshError="1">
        <row r="8">
          <cell r="A8" t="str">
            <v>Obra  :</v>
          </cell>
          <cell r="B8" t="str">
            <v>REMODELAÇÃO DE ESCRITÓRIO</v>
          </cell>
        </row>
        <row r="9">
          <cell r="A9" t="str">
            <v>Local:</v>
          </cell>
          <cell r="B9" t="str">
            <v>LAGOAS PARK – PORTO SALVO – OEIRAS</v>
          </cell>
          <cell r="F9" t="str">
            <v>N/Ref.ª 9078</v>
          </cell>
        </row>
        <row r="10">
          <cell r="A10" t="str">
            <v>Cliente:</v>
          </cell>
          <cell r="B10" t="str">
            <v>CUF</v>
          </cell>
          <cell r="F10" t="str">
            <v>Data: 12/03/2009</v>
          </cell>
        </row>
        <row r="12">
          <cell r="A12" t="str">
            <v xml:space="preserve">ARTIGO </v>
          </cell>
          <cell r="B12" t="str">
            <v>DESIGNAÇÃO  DOS  TRABALHOS</v>
          </cell>
          <cell r="C12" t="str">
            <v>UN.</v>
          </cell>
          <cell r="D12" t="str">
            <v>QUANT</v>
          </cell>
          <cell r="E12" t="str">
            <v>PREÇO</v>
          </cell>
          <cell r="F12" t="str">
            <v>IMPORTÂNCIA</v>
          </cell>
        </row>
        <row r="13">
          <cell r="A13" t="str">
            <v>Nº</v>
          </cell>
          <cell r="E13" t="str">
            <v>UNITÁRIO</v>
          </cell>
          <cell r="F13" t="str">
            <v>TOTAL</v>
          </cell>
        </row>
        <row r="16">
          <cell r="A16" t="str">
            <v xml:space="preserve"> CONSTRUÇÃO CIVIL</v>
          </cell>
        </row>
        <row r="18">
          <cell r="A18" t="str">
            <v>1</v>
          </cell>
          <cell r="B18" t="str">
            <v>DEMOLIÇÕES – Instalação Sanitária</v>
          </cell>
          <cell r="F18">
            <v>1042.22</v>
          </cell>
        </row>
        <row r="19">
          <cell r="A19" t="str">
            <v>1.1</v>
          </cell>
          <cell r="B19" t="str">
            <v>Demolição de paredes em alvenaria de tijolo cerâmico com estuque projectado.</v>
          </cell>
          <cell r="C19" t="str">
            <v>m²</v>
          </cell>
          <cell r="D19">
            <v>17</v>
          </cell>
          <cell r="E19">
            <v>17.32</v>
          </cell>
          <cell r="F19">
            <v>294.44</v>
          </cell>
        </row>
        <row r="21">
          <cell r="A21" t="str">
            <v>1.2</v>
          </cell>
          <cell r="B21" t="str">
            <v>Demolição de pavimento em mosaico de grês exturdido tipo “Maronagrês”.</v>
          </cell>
          <cell r="C21" t="str">
            <v>m²</v>
          </cell>
          <cell r="D21">
            <v>6</v>
          </cell>
          <cell r="E21">
            <v>49.07</v>
          </cell>
          <cell r="F21">
            <v>294.42</v>
          </cell>
        </row>
        <row r="23">
          <cell r="A23" t="str">
            <v>1.3</v>
          </cell>
          <cell r="B23" t="str">
            <v>Desmontagem de porta de madeira tipo “placarol” folheada a faia com acabamento envernizado, com ferragens tipo “Cifial” - 0,70mX2,00m</v>
          </cell>
          <cell r="C23" t="str">
            <v>un</v>
          </cell>
          <cell r="D23">
            <v>1</v>
          </cell>
          <cell r="E23">
            <v>46.67</v>
          </cell>
          <cell r="F23">
            <v>46.67</v>
          </cell>
        </row>
        <row r="25">
          <cell r="A25" t="str">
            <v>1.4</v>
          </cell>
          <cell r="B25" t="str">
            <v>Demolição de tecto falso em  gesso cartonado, com iluminação incorporada.</v>
          </cell>
          <cell r="C25" t="str">
            <v>m²</v>
          </cell>
          <cell r="D25">
            <v>6</v>
          </cell>
          <cell r="E25">
            <v>4.67</v>
          </cell>
          <cell r="F25">
            <v>28.02</v>
          </cell>
        </row>
        <row r="27">
          <cell r="A27" t="str">
            <v>1.5</v>
          </cell>
          <cell r="B27" t="str">
            <v>Desmontagem e assentamento das Loiças sanitárias existentes (tipo “Cifial”)  p\ nova Inst. Sanitária, (2 sanitas, 1 lavatório c\ monocomando)</v>
          </cell>
          <cell r="C27" t="str">
            <v>un</v>
          </cell>
          <cell r="D27">
            <v>3</v>
          </cell>
          <cell r="E27">
            <v>52.89</v>
          </cell>
          <cell r="F27">
            <v>158.67000000000002</v>
          </cell>
        </row>
        <row r="29">
          <cell r="A29" t="str">
            <v>1.6</v>
          </cell>
          <cell r="B29" t="str">
            <v>Desmontagem e montagem de divisória em fenólico existente c\ 2 portas, para lacar na cor branca.</v>
          </cell>
          <cell r="C29" t="str">
            <v>m²</v>
          </cell>
          <cell r="D29">
            <v>7</v>
          </cell>
          <cell r="E29">
            <v>20</v>
          </cell>
          <cell r="F29">
            <v>140</v>
          </cell>
        </row>
        <row r="31">
          <cell r="A31" t="str">
            <v>1.7</v>
          </cell>
          <cell r="B31" t="str">
            <v>Desmontagem de portas de armário  em madeira, para possivél reutilização, (zona exterior à inst. Sanitária) – 2,00mX2,00m</v>
          </cell>
          <cell r="C31" t="str">
            <v>m²</v>
          </cell>
          <cell r="D31">
            <v>4</v>
          </cell>
          <cell r="E31">
            <v>20</v>
          </cell>
          <cell r="F31">
            <v>80</v>
          </cell>
        </row>
        <row r="33">
          <cell r="A33" t="str">
            <v>2</v>
          </cell>
          <cell r="B33" t="str">
            <v>PAREDES DIVISÓRIAS</v>
          </cell>
          <cell r="F33">
            <v>27678.6</v>
          </cell>
        </row>
        <row r="35">
          <cell r="A35" t="str">
            <v>2.1</v>
          </cell>
          <cell r="B35" t="str">
            <v>Fornecimento e montagem de paredes em gesso cartonado, tipo Pladur, incluindo montantes, lã de rocha com 70Kg/m³, barramentos, e todos os trabalhos necessários à sua boa execução.</v>
          </cell>
          <cell r="C35" t="str">
            <v>m²</v>
          </cell>
          <cell r="D35">
            <v>180</v>
          </cell>
          <cell r="E35">
            <v>43.77</v>
          </cell>
          <cell r="F35">
            <v>7878.6</v>
          </cell>
        </row>
        <row r="37">
          <cell r="A37" t="str">
            <v>2.2</v>
          </cell>
          <cell r="B37" t="str">
            <v>Fornecimento e assentamento de divisórias fixas em vidro (3,00m), transparente temperado, jateado com 10mm espessura, perfis em ferro lacado a tinta de esmalte, incluindo todas as fixações e acessórios necessários ao seu bom funcionamento, conforme desenh</v>
          </cell>
          <cell r="C37" t="str">
            <v>m²</v>
          </cell>
          <cell r="D37">
            <v>99</v>
          </cell>
          <cell r="E37">
            <v>106.67</v>
          </cell>
          <cell r="F37">
            <v>10560.33</v>
          </cell>
        </row>
        <row r="39">
          <cell r="A39" t="str">
            <v>2.3</v>
          </cell>
          <cell r="B39" t="str">
            <v>Fornecimento e assentamento de divisórias fixas em vidro (3,00m), transparente temperado, com 10mm espessura, perfis em ferro lacado a tinta de esmalte, incluindo todas as fixações e acessórios necessários ao seu bom funcionamento, conforme desenho de por</v>
          </cell>
          <cell r="C39" t="str">
            <v>m²</v>
          </cell>
          <cell r="D39">
            <v>99</v>
          </cell>
          <cell r="E39">
            <v>93.33</v>
          </cell>
          <cell r="F39">
            <v>9239.67</v>
          </cell>
        </row>
        <row r="41">
          <cell r="A41" t="str">
            <v>Opção</v>
          </cell>
          <cell r="B41" t="str">
            <v>Fornecimento e assentamento de divisórias fixas em vidro (3,00m), transparente temperado, jateado com 10mm espessura, perfis em ferro lacado a tinta de esmalte, incluindo todas as fixações e acessórios necessários ao seu bom funcionamento, conforme desenh</v>
          </cell>
          <cell r="C41" t="str">
            <v>m²</v>
          </cell>
          <cell r="D41">
            <v>99</v>
          </cell>
          <cell r="E41">
            <v>106.67</v>
          </cell>
        </row>
        <row r="43">
          <cell r="A43" t="str">
            <v>Opção</v>
          </cell>
          <cell r="B43" t="str">
            <v>Fornecimento e montagem de divisória amovível auto-portante Clestra Hauserman linha "Loft" com 3,00m de altura, sendo constituida por painéis em vidro temperado de 12mm incolor, aplicado sobre uma estrutura composta por rodapé e rodatecto em alumínio extr</v>
          </cell>
          <cell r="C43" t="str">
            <v>m²</v>
          </cell>
          <cell r="D43">
            <v>112.02</v>
          </cell>
          <cell r="E43">
            <v>182.67</v>
          </cell>
        </row>
        <row r="45">
          <cell r="A45" t="str">
            <v>3</v>
          </cell>
          <cell r="B45" t="str">
            <v>REVESTIMENTOS DAS PAREDES</v>
          </cell>
          <cell r="F45">
            <v>15857.796999999999</v>
          </cell>
        </row>
        <row r="47">
          <cell r="A47" t="str">
            <v>3.1</v>
          </cell>
          <cell r="B47" t="str">
            <v>Fornecimento e execução de pintura com tinta plástica acetinada em paredes interiores e remates em madeira existentes na guarnição dos vãos, a 2 demão, de cor a definir em obra, incluindo todos os trabalhos necessários à sua boa execução.</v>
          </cell>
          <cell r="C47" t="str">
            <v>m²</v>
          </cell>
          <cell r="D47">
            <v>1100</v>
          </cell>
        </row>
        <row r="49">
          <cell r="B49" t="str">
            <v>Fornecimento e execução de pintura com tinta plástica acetinada em paredes interiores novas em gesso cartonado e remates em madeira existentes na guarnição dos vãos, a 2 demãos na cor branco puro, incluindo todos os trabalhos necessários à sua boa execuçã</v>
          </cell>
          <cell r="C49" t="str">
            <v>m²</v>
          </cell>
          <cell r="D49">
            <v>900</v>
          </cell>
          <cell r="E49">
            <v>3.53</v>
          </cell>
          <cell r="F49">
            <v>3177</v>
          </cell>
        </row>
        <row r="51">
          <cell r="B51" t="str">
            <v>Fornecimento e execução de pintura com tinta plástica acetinada em paredes interiores existentes e remates em madeira existentes na guarnição dos vãos, a 2 demão, de cor a definir em obra, incluindo todos os trabalhos necessários à sua boa execução.</v>
          </cell>
          <cell r="C51" t="str">
            <v>m²</v>
          </cell>
          <cell r="D51">
            <v>200</v>
          </cell>
          <cell r="E51">
            <v>2.6</v>
          </cell>
          <cell r="F51">
            <v>520</v>
          </cell>
        </row>
        <row r="53">
          <cell r="A53" t="str">
            <v>3.3</v>
          </cell>
          <cell r="B53" t="str">
            <v xml:space="preserve">Fornecimento e execução de pintura com tinta plástica acetinada nos apainelados em mdf,  de cor a definir em obra, incluindo todos os trabalhos necessários à sua boa execução. </v>
          </cell>
          <cell r="F53" t="str">
            <v>Incluido no fornecimento de painéis.
Erros e Omissões</v>
          </cell>
        </row>
        <row r="55">
          <cell r="A55" t="str">
            <v>3.4</v>
          </cell>
          <cell r="B55" t="str">
            <v>Fornecimento e assentamento sobre pladur de chapas de vidro pintado, tipo Lacobel, de cor branca RAL 9010, incluindo todos os trabalhos necessários à sua boa execução.</v>
          </cell>
          <cell r="C55" t="str">
            <v>m²</v>
          </cell>
          <cell r="D55">
            <v>45</v>
          </cell>
          <cell r="E55">
            <v>86.67</v>
          </cell>
          <cell r="F55">
            <v>3900.15</v>
          </cell>
        </row>
        <row r="57">
          <cell r="A57" t="str">
            <v>3.5</v>
          </cell>
          <cell r="B57" t="str">
            <v>Fornecimento e assentamento de chapas de vidro transparente temperado com efeito de serigrafia tipo impressão digital, de 8mm de espessura, sobre pladur, incluindo todos os trabalhos necessários à sua boa execução.</v>
          </cell>
          <cell r="C57" t="str">
            <v>m²</v>
          </cell>
          <cell r="D57">
            <v>18.5</v>
          </cell>
          <cell r="E57">
            <v>160</v>
          </cell>
          <cell r="F57">
            <v>2960</v>
          </cell>
        </row>
        <row r="59">
          <cell r="A59" t="str">
            <v>3.6</v>
          </cell>
          <cell r="B59" t="str">
            <v>Fornecimento e aplicação de mosaico cerâmico (I.S.), Margrés “Extreme” extra white 30X60, incluindo todos os trabalhos necessários ao seu bom acabamento.</v>
          </cell>
          <cell r="C59" t="str">
            <v>m²</v>
          </cell>
          <cell r="D59">
            <v>45</v>
          </cell>
          <cell r="E59">
            <v>74.37</v>
          </cell>
          <cell r="F59">
            <v>3346.65</v>
          </cell>
        </row>
        <row r="61">
          <cell r="A61" t="str">
            <v>Opção</v>
          </cell>
          <cell r="B61" t="str">
            <v>Fornecimento e aplicação de mosaico cerâmico (I.S.), tipo cinca incluindo todos os trabalhos necessários ao seu bom acabamento.</v>
          </cell>
          <cell r="C61" t="str">
            <v>m²</v>
          </cell>
          <cell r="D61">
            <v>45</v>
          </cell>
          <cell r="E61">
            <v>39.11</v>
          </cell>
        </row>
        <row r="63">
          <cell r="A63" t="str">
            <v>3.7</v>
          </cell>
          <cell r="B63" t="str">
            <v>Fornecimento e aplicação de vidro pintado  (I.S.), (tipo lacobel) de cor preta RAL 9005, incluindo todos os trabalhos necessários ao seu bom acabamento.</v>
          </cell>
          <cell r="C63" t="str">
            <v>m²</v>
          </cell>
          <cell r="D63">
            <v>7.7</v>
          </cell>
          <cell r="E63">
            <v>86.67</v>
          </cell>
          <cell r="F63">
            <v>667.35900000000004</v>
          </cell>
        </row>
        <row r="65">
          <cell r="A65" t="str">
            <v>3.8</v>
          </cell>
          <cell r="B65" t="str">
            <v>Fornecimento e aplicação de silestone (COPA), Mont Blanc, incluindo todos os trabalhos necessários ao seu bom acabamento.</v>
          </cell>
          <cell r="C65" t="str">
            <v>m²</v>
          </cell>
          <cell r="D65">
            <v>2.4</v>
          </cell>
          <cell r="E65">
            <v>239.97</v>
          </cell>
          <cell r="F65">
            <v>575.928</v>
          </cell>
        </row>
        <row r="67">
          <cell r="A67" t="str">
            <v>Opção</v>
          </cell>
          <cell r="B67" t="str">
            <v>Fornecimento e aplicação de mosaico tipo Cinca incluindo todos os trabalhos necessários ao seu bom acabamento.</v>
          </cell>
          <cell r="C67" t="str">
            <v>m²</v>
          </cell>
          <cell r="D67">
            <v>2.4</v>
          </cell>
          <cell r="E67">
            <v>39.11</v>
          </cell>
        </row>
        <row r="69">
          <cell r="A69" t="str">
            <v>3.9</v>
          </cell>
          <cell r="B69" t="str">
            <v>Fornecimento e aplicação de chapas de policarbonato 16mm de espessura (RECEPÇÃO), incluindo todos os trabalhos necessários ao seu bom acabamento, conforme desenho de pormenor.</v>
          </cell>
          <cell r="C69" t="str">
            <v>m²</v>
          </cell>
          <cell r="D69">
            <v>13</v>
          </cell>
          <cell r="E69">
            <v>54.67</v>
          </cell>
          <cell r="F69">
            <v>710.71</v>
          </cell>
        </row>
        <row r="71">
          <cell r="A71" t="str">
            <v>4</v>
          </cell>
          <cell r="B71" t="str">
            <v>PAVIMENTOS</v>
          </cell>
          <cell r="F71">
            <v>29004.362000000001</v>
          </cell>
        </row>
        <row r="73">
          <cell r="A73" t="str">
            <v>4.1</v>
          </cell>
          <cell r="B73" t="str">
            <v>Fornecimento e aplicação de mosaico cerâmico,  (I.S.), Margrés “Extreme” Extra White 30X60cm, incluindo todos os trabalhos necessários ao seu bom acabamento.</v>
          </cell>
          <cell r="C73" t="str">
            <v>m²</v>
          </cell>
          <cell r="D73">
            <v>12</v>
          </cell>
          <cell r="E73">
            <v>74.37</v>
          </cell>
          <cell r="F73">
            <v>892.44</v>
          </cell>
        </row>
        <row r="75">
          <cell r="A75" t="str">
            <v>Opção</v>
          </cell>
          <cell r="B75" t="str">
            <v>Fornecimento e aplicação de mosaico cerâmico,  (I.S.), tipo Cinca, incluindo todos os trabalhos necessários ao seu bom acabamento.</v>
          </cell>
          <cell r="C75" t="str">
            <v>m²</v>
          </cell>
          <cell r="D75">
            <v>12</v>
          </cell>
          <cell r="E75">
            <v>39.11</v>
          </cell>
        </row>
        <row r="77">
          <cell r="A77" t="str">
            <v>4.2</v>
          </cell>
          <cell r="B77" t="str">
            <v>Fornecimento e aplicação de mosaico cerâmico,  (I.S.), Margrés “Extreme” Extra White 60X120cm, incluindo todos os trabalhos necessários ao seu bom acabamento.</v>
          </cell>
          <cell r="C77" t="str">
            <v>m²</v>
          </cell>
          <cell r="D77">
            <v>10</v>
          </cell>
          <cell r="E77">
            <v>109.64</v>
          </cell>
          <cell r="F77">
            <v>1096.4000000000001</v>
          </cell>
        </row>
        <row r="79">
          <cell r="A79" t="str">
            <v>Opção</v>
          </cell>
          <cell r="B79" t="str">
            <v>Fornecimento e aplicação de mosaico cerâmico,  (I.S.), tipo cinca incluindo todos os trabalhos necessários ao seu bom acabamento.</v>
          </cell>
          <cell r="C79" t="str">
            <v>m²</v>
          </cell>
          <cell r="D79">
            <v>10</v>
          </cell>
          <cell r="E79">
            <v>39.11</v>
          </cell>
        </row>
        <row r="81">
          <cell r="A81" t="str">
            <v>4.3</v>
          </cell>
          <cell r="B81" t="str">
            <v>Fornecimento e aplicação de alcatifa, autoposante 50X50, da InterfaceFlor REFª Tapestry 303416, incluindo todos os trabalhos necessários ao seu bom acabamento.</v>
          </cell>
          <cell r="C81" t="str">
            <v>m²</v>
          </cell>
          <cell r="D81">
            <v>685</v>
          </cell>
          <cell r="E81">
            <v>38.53</v>
          </cell>
          <cell r="F81">
            <v>26393.05</v>
          </cell>
        </row>
        <row r="83">
          <cell r="A83" t="str">
            <v>4.4</v>
          </cell>
          <cell r="B83" t="str">
            <v>Fornecimento e aplicação de silestone (COPA), Mont Blanc, incluindo todos os trabalhos necessários ao seu bom acabamento.</v>
          </cell>
          <cell r="C83" t="str">
            <v>m²</v>
          </cell>
          <cell r="D83">
            <v>2.2999999999999998</v>
          </cell>
          <cell r="E83">
            <v>270.64</v>
          </cell>
          <cell r="F83">
            <v>622.47199999999987</v>
          </cell>
        </row>
        <row r="85">
          <cell r="A85" t="str">
            <v>Opção</v>
          </cell>
          <cell r="B85" t="str">
            <v>Fornecimento e aplicação de mosaico tipo Cinca (COPA),  incluindo todos os trabalhos necessários ao seu bom acabamento.</v>
          </cell>
          <cell r="C85" t="str">
            <v>m²</v>
          </cell>
          <cell r="D85">
            <v>2.2999999999999998</v>
          </cell>
          <cell r="E85">
            <v>39.11</v>
          </cell>
        </row>
        <row r="87">
          <cell r="A87" t="str">
            <v>5</v>
          </cell>
          <cell r="B87" t="str">
            <v>TECTOS</v>
          </cell>
          <cell r="F87">
            <v>3754.63</v>
          </cell>
        </row>
        <row r="89">
          <cell r="A89" t="str">
            <v>5.1</v>
          </cell>
          <cell r="B89" t="str">
            <v>Fornecimento e montagem de tecto falso em placas de gesso cartonado, tipo PLADUR, (2,50m de altura), de acordo com Planta de Tectos, incluindo estrutura de suporte e alhetas de remate ou sancas, pinturas e todos os trabalhos necessários à sua boa execução</v>
          </cell>
          <cell r="C89" t="str">
            <v>m²</v>
          </cell>
          <cell r="D89">
            <v>90</v>
          </cell>
          <cell r="E89">
            <v>31.03</v>
          </cell>
          <cell r="F89">
            <v>2792.7000000000003</v>
          </cell>
        </row>
        <row r="91">
          <cell r="B91" t="str">
            <v>Fornecimento e montagem de tecto falso em placas de gesso cartonado, tipo PLADUR hidrófugo, (2,40m de altura), de acordo com Planta de Tectos, incluindo estrutura de suporte e alhetas de remate ou sancas, pinturas e todos os trabalhos necessários à sua bo</v>
          </cell>
          <cell r="C91" t="str">
            <v>m²</v>
          </cell>
          <cell r="D91">
            <v>31</v>
          </cell>
          <cell r="E91">
            <v>31.03</v>
          </cell>
          <cell r="F91">
            <v>961.93000000000006</v>
          </cell>
        </row>
        <row r="93">
          <cell r="A93" t="str">
            <v>6</v>
          </cell>
          <cell r="B93" t="str">
            <v>VÃOS</v>
          </cell>
          <cell r="F93">
            <v>20550.899999999998</v>
          </cell>
        </row>
        <row r="95">
          <cell r="A95" t="str">
            <v>6.1</v>
          </cell>
          <cell r="B95" t="str">
            <v>Fornecimento e  montagem de porta pivotante, em vidro transparente temperado de 8mm de espessura tipo serigrafado com impressão digital de apenas 1 face, incluindo estrutura de suporte, dobradiças de mola no pavimento, puxadores da JNF nas duas faces, e t</v>
          </cell>
        </row>
        <row r="97">
          <cell r="B97" t="str">
            <v>V1 -1,50x2,50m</v>
          </cell>
          <cell r="C97" t="str">
            <v>un</v>
          </cell>
          <cell r="D97">
            <v>2</v>
          </cell>
          <cell r="E97">
            <v>1026.93</v>
          </cell>
          <cell r="F97">
            <v>2053.86</v>
          </cell>
        </row>
        <row r="99">
          <cell r="B99" t="str">
            <v>Puxador  - JNF refª I.N.07.286 diam.25mm  alt.1800mm</v>
          </cell>
          <cell r="C99" t="str">
            <v>un</v>
          </cell>
          <cell r="D99">
            <v>2</v>
          </cell>
          <cell r="E99">
            <v>263.47000000000003</v>
          </cell>
          <cell r="F99">
            <v>526.94000000000005</v>
          </cell>
        </row>
        <row r="100">
          <cell r="B100" t="str">
            <v>Batente de pav.  - TUPAI refª 1699</v>
          </cell>
          <cell r="C100" t="str">
            <v>un</v>
          </cell>
          <cell r="D100">
            <v>2</v>
          </cell>
          <cell r="E100">
            <v>5.04</v>
          </cell>
          <cell r="F100">
            <v>10.08</v>
          </cell>
        </row>
        <row r="102">
          <cell r="A102" t="str">
            <v>6.2</v>
          </cell>
          <cell r="B102" t="str">
            <v>Fornecimento e  montagem de porta pivotante, em MDF de 30mm de espessura, lacada na cor branca, incluindo estrutura de suporte, dobradiças de mola no pavimento, puxadores da JNF nas duas faces, e todos os trabalhos necessários à sua boa execução.</v>
          </cell>
        </row>
        <row r="104">
          <cell r="B104" t="str">
            <v>V1a -1,50x2,50m</v>
          </cell>
          <cell r="C104" t="str">
            <v>un</v>
          </cell>
          <cell r="D104">
            <v>1</v>
          </cell>
          <cell r="E104">
            <v>1053.33</v>
          </cell>
          <cell r="F104">
            <v>1053.33</v>
          </cell>
        </row>
        <row r="106">
          <cell r="B106" t="str">
            <v>Puxador  - JNF refª I.N.07.286 diam.25mm  alt.1800mm</v>
          </cell>
          <cell r="F106" t="str">
            <v>Incluido</v>
          </cell>
        </row>
        <row r="107">
          <cell r="B107" t="str">
            <v>Batente de pav.  - TUPAI refª 1699</v>
          </cell>
          <cell r="F107" t="str">
            <v>Incluido</v>
          </cell>
        </row>
        <row r="109">
          <cell r="A109" t="str">
            <v>6.3</v>
          </cell>
          <cell r="B109" t="str">
            <v>Fornecimento e  montagem de porta de batente, em MDF de 30mm de espessura, lacada na cor branca, revestida a policarbonato c\ caixa de luz, incluindo estrutura de suporte, dobradiças de mola, puxador da JNF numa das faces, e todos os trabalhos necessários</v>
          </cell>
        </row>
        <row r="111">
          <cell r="B111" t="str">
            <v xml:space="preserve">V2 – 1,02x2,50m </v>
          </cell>
          <cell r="C111" t="str">
            <v>un</v>
          </cell>
          <cell r="D111">
            <v>1</v>
          </cell>
          <cell r="E111">
            <v>1413.33</v>
          </cell>
          <cell r="F111">
            <v>1413.33</v>
          </cell>
        </row>
        <row r="113">
          <cell r="B113" t="str">
            <v>Puxador  - JNF refª I.N.07.286 diam.20mm  alt.300mm</v>
          </cell>
          <cell r="F113" t="str">
            <v>Incluido</v>
          </cell>
        </row>
        <row r="114">
          <cell r="B114" t="str">
            <v>Batente de pav.  - TUPAI refª 1699</v>
          </cell>
          <cell r="F114" t="str">
            <v>Incluido</v>
          </cell>
        </row>
        <row r="116">
          <cell r="A116" t="str">
            <v>6.4</v>
          </cell>
          <cell r="B116" t="str">
            <v>Fornecimento e montagem de porta de batente engradada, (tipo placarol), aduelas, ferragens, fechaduras e puxadores da TUPAI, incluindo lacagem a bege, cor a definir, e todos os acessórios necessários ao seu bom funcionamento</v>
          </cell>
        </row>
        <row r="118">
          <cell r="B118" t="str">
            <v xml:space="preserve">V3 – 1,00x2,50m </v>
          </cell>
          <cell r="C118" t="str">
            <v>un</v>
          </cell>
          <cell r="D118">
            <v>6</v>
          </cell>
          <cell r="E118">
            <v>746.67</v>
          </cell>
          <cell r="F118">
            <v>4480.0199999999995</v>
          </cell>
        </row>
        <row r="120">
          <cell r="B120" t="str">
            <v xml:space="preserve">Puxador  - TUPAI refª 2020 </v>
          </cell>
          <cell r="F120" t="str">
            <v>Incluido</v>
          </cell>
        </row>
        <row r="121">
          <cell r="B121" t="str">
            <v>Batente de pav.  - TUPAI refª 1699</v>
          </cell>
          <cell r="F121" t="str">
            <v>Incluido</v>
          </cell>
        </row>
        <row r="123">
          <cell r="A123" t="str">
            <v>6.5</v>
          </cell>
          <cell r="B123" t="str">
            <v>Fornecimento e montagem de porta de batente engradada, (tipo placarol), lacada a branco (interior), revestida a MDF, lacada a bege (exterior), aduelas, ferragens, fechaduras e puxadores da JNF só p\ o interior, incluindo todos os acessórios necessários ao</v>
          </cell>
        </row>
        <row r="125">
          <cell r="B125" t="str">
            <v xml:space="preserve">V4 – 0,75x2,00m </v>
          </cell>
          <cell r="C125" t="str">
            <v>un</v>
          </cell>
          <cell r="D125">
            <v>3</v>
          </cell>
          <cell r="E125">
            <v>613.33000000000004</v>
          </cell>
          <cell r="F125">
            <v>1839.9900000000002</v>
          </cell>
        </row>
        <row r="127">
          <cell r="B127" t="str">
            <v>Puxador  - JNF refª I.N.07.286 diam.20mm  alt.300mm</v>
          </cell>
          <cell r="F127" t="str">
            <v>Incluido</v>
          </cell>
        </row>
        <row r="128">
          <cell r="B128" t="str">
            <v>Batente de pav.  - TUPAI refª 1699</v>
          </cell>
          <cell r="F128" t="str">
            <v>Incluido</v>
          </cell>
        </row>
        <row r="130">
          <cell r="A130" t="str">
            <v>6.6</v>
          </cell>
          <cell r="B130" t="str">
            <v>Fornecimento e montagem de porta de batente engradada, (tipo placarol), lacada a bege, aduelas, ferragens, fechaduras e puxadores da TUPAI, nas duas faces, e todos os trabalhos necessários à sua boa execução.</v>
          </cell>
        </row>
        <row r="132">
          <cell r="B132" t="str">
            <v xml:space="preserve">V5 – 1,00x2,50m </v>
          </cell>
          <cell r="C132" t="str">
            <v>un</v>
          </cell>
          <cell r="D132">
            <v>9</v>
          </cell>
          <cell r="E132">
            <v>746.67</v>
          </cell>
          <cell r="F132">
            <v>6720.03</v>
          </cell>
        </row>
        <row r="134">
          <cell r="B134" t="str">
            <v xml:space="preserve">Puxador  - TUPAI refª 2020 </v>
          </cell>
          <cell r="F134" t="str">
            <v>Incluido</v>
          </cell>
        </row>
        <row r="135">
          <cell r="B135" t="str">
            <v>Batente de pav.  - TUPAI refª 1699</v>
          </cell>
          <cell r="F135" t="str">
            <v>Incluido</v>
          </cell>
        </row>
        <row r="137">
          <cell r="A137" t="str">
            <v>Opção</v>
          </cell>
          <cell r="B137" t="str">
            <v>Fornecimento e montagem de módulo de porta simples de batente Clestra Hauserman linha "Loft" constituída por folha de porta aglomerado de madeira revestida em melamina na cor a definir, com altura total, incluindo puxador e fechadura.</v>
          </cell>
        </row>
        <row r="139">
          <cell r="B139" t="str">
            <v xml:space="preserve">V5 – 1,00x3,00m </v>
          </cell>
          <cell r="C139" t="str">
            <v>un</v>
          </cell>
          <cell r="D139">
            <v>9</v>
          </cell>
          <cell r="E139">
            <v>800</v>
          </cell>
        </row>
        <row r="141">
          <cell r="B141" t="str">
            <v xml:space="preserve">Puxador  - TUPAI refª 2020 </v>
          </cell>
          <cell r="F141" t="str">
            <v>Incluido</v>
          </cell>
        </row>
        <row r="142">
          <cell r="B142" t="str">
            <v>Batente de pav.  - TUPAI refª 1699</v>
          </cell>
          <cell r="F142" t="str">
            <v>Incluido</v>
          </cell>
        </row>
        <row r="144">
          <cell r="A144" t="str">
            <v>6.7</v>
          </cell>
          <cell r="B144" t="str">
            <v>Fornecimento e montagem de porta de batente engradada, (tipo placarol), lacada a branco, aduelas, ferragens, fechaduras e puxadores da TUPAI, nas duas faces, e todos os trabalhos necessários à sua boa execução.</v>
          </cell>
        </row>
        <row r="146">
          <cell r="B146" t="str">
            <v xml:space="preserve">V6 – 0,75x2,00m </v>
          </cell>
          <cell r="C146" t="str">
            <v>un</v>
          </cell>
          <cell r="D146">
            <v>4</v>
          </cell>
          <cell r="E146">
            <v>613.33000000000004</v>
          </cell>
          <cell r="F146">
            <v>2453.3200000000002</v>
          </cell>
        </row>
        <row r="148">
          <cell r="B148" t="str">
            <v xml:space="preserve">Puxador  - TUPAI refª 2020 </v>
          </cell>
          <cell r="F148" t="str">
            <v>Incluido</v>
          </cell>
        </row>
        <row r="149">
          <cell r="B149" t="str">
            <v>Batente de pav.  - TUPAI refª 1699</v>
          </cell>
          <cell r="F149" t="str">
            <v>Incluido</v>
          </cell>
        </row>
        <row r="151">
          <cell r="A151" t="str">
            <v>7</v>
          </cell>
          <cell r="B151" t="str">
            <v>ARMÁRIOS</v>
          </cell>
          <cell r="F151">
            <v>12920.02</v>
          </cell>
        </row>
        <row r="153">
          <cell r="A153" t="str">
            <v>7.1</v>
          </cell>
          <cell r="B153" t="str">
            <v>Fornecimento e assentamento de armários com portas e prateleiras em MDF para lacar, revestimento interior em MDF, incluindo ilhargas, dobradiças, puxadores, fechos, fechaduras e todos os trabalhos necessários à sua boa execução, conforme mapa de armários.</v>
          </cell>
          <cell r="C153" t="str">
            <v>un</v>
          </cell>
          <cell r="D153">
            <v>4</v>
          </cell>
        </row>
        <row r="155">
          <cell r="B155" t="str">
            <v xml:space="preserve">Armários (ARM1) </v>
          </cell>
        </row>
        <row r="156">
          <cell r="B156" t="str">
            <v>5,10 x 0,45m (h=2,80m)</v>
          </cell>
          <cell r="C156" t="str">
            <v>un</v>
          </cell>
          <cell r="D156">
            <v>1</v>
          </cell>
          <cell r="E156">
            <v>3866.67</v>
          </cell>
          <cell r="F156">
            <v>3866.67</v>
          </cell>
        </row>
        <row r="157">
          <cell r="A157" t="str">
            <v>Opção</v>
          </cell>
          <cell r="B157" t="str">
            <v xml:space="preserve">Opção em laminado - Armários (ARM1) </v>
          </cell>
        </row>
        <row r="158">
          <cell r="B158" t="str">
            <v>5,10 x 0,45m (h=2,80m)</v>
          </cell>
          <cell r="C158" t="str">
            <v>un</v>
          </cell>
          <cell r="D158">
            <v>1</v>
          </cell>
          <cell r="E158">
            <v>2266.67</v>
          </cell>
        </row>
        <row r="159">
          <cell r="B159" t="str">
            <v xml:space="preserve">Armários (ARM2) </v>
          </cell>
        </row>
        <row r="160">
          <cell r="B160" t="str">
            <v>3,366 x 0,30m (h=2,80m)</v>
          </cell>
          <cell r="C160" t="str">
            <v>un</v>
          </cell>
          <cell r="D160">
            <v>1</v>
          </cell>
          <cell r="E160">
            <v>2786.67</v>
          </cell>
          <cell r="F160">
            <v>2786.67</v>
          </cell>
        </row>
        <row r="161">
          <cell r="A161" t="str">
            <v>Opção</v>
          </cell>
          <cell r="B161" t="str">
            <v xml:space="preserve">Opção em laminado - Armários (ARM2) </v>
          </cell>
        </row>
        <row r="162">
          <cell r="B162" t="str">
            <v>3,366 x 0,30m (h=2,80m)</v>
          </cell>
          <cell r="C162" t="str">
            <v>un</v>
          </cell>
          <cell r="D162">
            <v>1</v>
          </cell>
          <cell r="E162">
            <v>1800</v>
          </cell>
        </row>
        <row r="163">
          <cell r="B163" t="str">
            <v xml:space="preserve">Armários (ARM3) </v>
          </cell>
        </row>
        <row r="164">
          <cell r="B164" t="str">
            <v>3,36 x 0,30m (h=2,80m)</v>
          </cell>
          <cell r="C164" t="str">
            <v>un</v>
          </cell>
          <cell r="D164">
            <v>2</v>
          </cell>
          <cell r="E164">
            <v>2786.67</v>
          </cell>
          <cell r="F164">
            <v>5573.34</v>
          </cell>
        </row>
        <row r="165">
          <cell r="A165" t="str">
            <v>Opção</v>
          </cell>
          <cell r="B165" t="str">
            <v xml:space="preserve">Opção em laminado - Armários (ARM3) </v>
          </cell>
        </row>
        <row r="166">
          <cell r="B166" t="str">
            <v>3,36 x 0,30m (h=2,80m)</v>
          </cell>
          <cell r="C166" t="str">
            <v>un</v>
          </cell>
          <cell r="D166">
            <v>2</v>
          </cell>
          <cell r="E166">
            <v>1800</v>
          </cell>
        </row>
        <row r="167">
          <cell r="B167" t="str">
            <v xml:space="preserve">Armários (ARM4) </v>
          </cell>
        </row>
        <row r="168">
          <cell r="B168" t="str">
            <v>0,90 x 0,45m (prateleiras c\ 20mm esp.)</v>
          </cell>
          <cell r="C168" t="str">
            <v>un</v>
          </cell>
          <cell r="D168">
            <v>5</v>
          </cell>
          <cell r="E168">
            <v>48</v>
          </cell>
          <cell r="F168">
            <v>240</v>
          </cell>
        </row>
        <row r="170">
          <cell r="A170" t="str">
            <v>7.2</v>
          </cell>
          <cell r="B170" t="str">
            <v>Fornecimento e execução de portas e prateleira em mdf lacada à cor branca (wc´s direcção), incluindo todos os trabalhos necessários à sua boa execução.</v>
          </cell>
        </row>
        <row r="172">
          <cell r="B172" t="str">
            <v>Portas</v>
          </cell>
        </row>
        <row r="173">
          <cell r="B173" t="str">
            <v>0,85 x 0,60 (esp.=20mm)</v>
          </cell>
          <cell r="C173" t="str">
            <v>un</v>
          </cell>
          <cell r="D173">
            <v>4</v>
          </cell>
          <cell r="E173">
            <v>66.67</v>
          </cell>
          <cell r="F173">
            <v>266.68</v>
          </cell>
        </row>
        <row r="174">
          <cell r="B174" t="str">
            <v>Prateleira</v>
          </cell>
        </row>
        <row r="175">
          <cell r="B175" t="str">
            <v>1,20 x 0,60 (esp.=20mm)</v>
          </cell>
          <cell r="C175" t="str">
            <v>un</v>
          </cell>
          <cell r="D175">
            <v>2</v>
          </cell>
          <cell r="E175">
            <v>93.33</v>
          </cell>
          <cell r="F175">
            <v>186.66</v>
          </cell>
        </row>
        <row r="177">
          <cell r="A177" t="str">
            <v>8</v>
          </cell>
          <cell r="B177" t="str">
            <v>RODAPÉS</v>
          </cell>
          <cell r="F177">
            <v>1703.6999999999998</v>
          </cell>
        </row>
        <row r="179">
          <cell r="A179" t="str">
            <v>8.1</v>
          </cell>
          <cell r="B179" t="str">
            <v>Fornecimento e assentamento de rodapé contínuo em perfil U (0,02m) lacado a tinta de esmalte cinzenta, incluindo fixações e acessórios necessários ao seu bom acabamento, conforme pormenor.</v>
          </cell>
          <cell r="C179" t="str">
            <v>m</v>
          </cell>
          <cell r="D179">
            <v>270</v>
          </cell>
          <cell r="E179">
            <v>6.31</v>
          </cell>
          <cell r="F179">
            <v>1703.6999999999998</v>
          </cell>
        </row>
        <row r="181">
          <cell r="A181" t="str">
            <v>9</v>
          </cell>
          <cell r="B181" t="str">
            <v>SANCAS</v>
          </cell>
          <cell r="F181">
            <v>0</v>
          </cell>
        </row>
        <row r="183">
          <cell r="A183" t="str">
            <v>9.1</v>
          </cell>
          <cell r="B183" t="str">
            <v>Execução de alheta reentrante com 0,02m de largura e 0,01m de profundidade, para pintar com tinta plástica de cor a definir em obra, incluindo todos os trabalhos necessários à sua boa execução.</v>
          </cell>
          <cell r="F183" t="str">
            <v>Incluido</v>
          </cell>
        </row>
        <row r="185">
          <cell r="A185" t="str">
            <v>10</v>
          </cell>
          <cell r="B185" t="str">
            <v>INSTALAÇÕES SANITÁRIAS – LOIÇAS</v>
          </cell>
          <cell r="F185">
            <v>7866.1400000000012</v>
          </cell>
        </row>
        <row r="187">
          <cell r="A187" t="str">
            <v>10.1</v>
          </cell>
          <cell r="B187" t="str">
            <v>Fornecimento e assentamento de loiças\torneiras, (wc administração), incluindo todos os acessórios necessários ao seu bom funcionamento:</v>
          </cell>
        </row>
        <row r="189">
          <cell r="A189" t="str">
            <v>10.1.1</v>
          </cell>
          <cell r="B189" t="str">
            <v>Sanita – GSI,  PANORAMA, big suspenso REFª6612</v>
          </cell>
          <cell r="C189" t="str">
            <v>un</v>
          </cell>
          <cell r="D189">
            <v>2</v>
          </cell>
          <cell r="E189">
            <v>704.88</v>
          </cell>
          <cell r="F189">
            <v>1409.76</v>
          </cell>
        </row>
        <row r="191">
          <cell r="A191" t="str">
            <v>Opção</v>
          </cell>
          <cell r="B191" t="str">
            <v>Sanita  suspensa em loiça branca tipo Sanitana modelo Munique</v>
          </cell>
          <cell r="C191" t="str">
            <v>un</v>
          </cell>
          <cell r="D191">
            <v>2</v>
          </cell>
          <cell r="E191">
            <v>421.97</v>
          </cell>
        </row>
        <row r="193">
          <cell r="A193" t="str">
            <v>10.1.2</v>
          </cell>
          <cell r="B193" t="str">
            <v>Bidé – GSI, PANORAMA, big suspenso REFª6665</v>
          </cell>
          <cell r="C193" t="str">
            <v>un</v>
          </cell>
          <cell r="D193">
            <v>2</v>
          </cell>
          <cell r="E193">
            <v>505.05</v>
          </cell>
          <cell r="F193">
            <v>1010.1</v>
          </cell>
        </row>
        <row r="195">
          <cell r="A195" t="str">
            <v>Opção</v>
          </cell>
          <cell r="B195" t="str">
            <v>Bidé  suspensa em loiça branca tipo Sanitana modelo Munique</v>
          </cell>
          <cell r="C195" t="str">
            <v>un</v>
          </cell>
          <cell r="D195">
            <v>2</v>
          </cell>
          <cell r="E195">
            <v>256.64999999999998</v>
          </cell>
        </row>
        <row r="197">
          <cell r="A197" t="str">
            <v>10.1.3</v>
          </cell>
          <cell r="B197" t="str">
            <v xml:space="preserve">Lavatório + Móvel suspenso – BELLAVISTA, móvel Cubic 80 </v>
          </cell>
          <cell r="C197" t="str">
            <v>un</v>
          </cell>
          <cell r="D197">
            <v>2</v>
          </cell>
          <cell r="E197">
            <v>1021.97</v>
          </cell>
          <cell r="F197">
            <v>2043.94</v>
          </cell>
        </row>
        <row r="199">
          <cell r="A199" t="str">
            <v>Opção</v>
          </cell>
          <cell r="B199" t="str">
            <v>Lavatório  suspensa em loiça branca tipo Sanitana modelo Munique</v>
          </cell>
          <cell r="C199" t="str">
            <v>un</v>
          </cell>
          <cell r="D199">
            <v>2</v>
          </cell>
          <cell r="E199">
            <v>670.57</v>
          </cell>
        </row>
        <row r="201">
          <cell r="A201" t="str">
            <v>10.1.4</v>
          </cell>
          <cell r="B201" t="str">
            <v>Torneira  - monocomando de lavatório VALADARES modelo Assi,  refª 50645012</v>
          </cell>
          <cell r="C201" t="str">
            <v>un</v>
          </cell>
          <cell r="D201">
            <v>2</v>
          </cell>
          <cell r="E201">
            <v>220.04</v>
          </cell>
          <cell r="F201">
            <v>440.08</v>
          </cell>
        </row>
        <row r="203">
          <cell r="A203" t="str">
            <v>Opção</v>
          </cell>
          <cell r="B203" t="str">
            <v>Torneira  - monocomando  de lavatório da OFA Tubis ref.ªGCT7925</v>
          </cell>
          <cell r="C203" t="str">
            <v>un</v>
          </cell>
          <cell r="D203">
            <v>2</v>
          </cell>
          <cell r="E203">
            <v>95.07</v>
          </cell>
        </row>
        <row r="205">
          <cell r="A205" t="str">
            <v>10.1.4</v>
          </cell>
          <cell r="B205" t="str">
            <v>Torneira  - monocomando de bidé VALADARES modelo Assi,  refª 50645032</v>
          </cell>
          <cell r="C205" t="str">
            <v>un</v>
          </cell>
          <cell r="D205">
            <v>2</v>
          </cell>
          <cell r="E205">
            <v>213.91</v>
          </cell>
          <cell r="F205">
            <v>427.82</v>
          </cell>
        </row>
        <row r="207">
          <cell r="A207" t="str">
            <v>Opção</v>
          </cell>
          <cell r="B207" t="str">
            <v>Torneira  - monocomando  de bidé da OFA Tubis ref.ªGCT7925</v>
          </cell>
          <cell r="C207" t="str">
            <v>un</v>
          </cell>
          <cell r="D207">
            <v>2</v>
          </cell>
          <cell r="E207">
            <v>135.71</v>
          </cell>
        </row>
        <row r="209">
          <cell r="A209" t="str">
            <v>10.1.5</v>
          </cell>
          <cell r="B209" t="str">
            <v>Espelho cristal simples com 5mm espessura, colado sobre pladur – 2,00x1,60</v>
          </cell>
          <cell r="C209" t="str">
            <v>un</v>
          </cell>
          <cell r="D209">
            <v>2</v>
          </cell>
          <cell r="E209">
            <v>202.67</v>
          </cell>
          <cell r="F209">
            <v>405.34</v>
          </cell>
        </row>
        <row r="211">
          <cell r="A211" t="str">
            <v>10.2</v>
          </cell>
          <cell r="B211" t="str">
            <v>Fornecimento e assentamento de loiças\torneiras, (wc direcção), incluindo todos os acessórios necessários ao seu bom funcionamento:</v>
          </cell>
        </row>
        <row r="213">
          <cell r="A213" t="str">
            <v>10.2.1</v>
          </cell>
          <cell r="B213" t="str">
            <v>Sanita – conforme a existente “tipo Cifial”</v>
          </cell>
          <cell r="C213" t="str">
            <v>un</v>
          </cell>
          <cell r="D213">
            <v>2</v>
          </cell>
          <cell r="E213">
            <v>288.73</v>
          </cell>
          <cell r="F213">
            <v>577.46</v>
          </cell>
        </row>
        <row r="215">
          <cell r="A215" t="str">
            <v>10.2.2</v>
          </cell>
          <cell r="B215" t="str">
            <v>Lavatório – conforme existente “tipo cifial”</v>
          </cell>
          <cell r="C215" t="str">
            <v>un</v>
          </cell>
          <cell r="D215">
            <v>1</v>
          </cell>
          <cell r="E215">
            <v>131.63999999999999</v>
          </cell>
          <cell r="F215">
            <v>131.63999999999999</v>
          </cell>
        </row>
        <row r="217">
          <cell r="A217" t="str">
            <v>10.2.3</v>
          </cell>
          <cell r="B217" t="str">
            <v>Torneira  – conforme existente “tipo cifial”</v>
          </cell>
          <cell r="C217" t="str">
            <v>un</v>
          </cell>
          <cell r="D217">
            <v>1</v>
          </cell>
          <cell r="E217">
            <v>165.6</v>
          </cell>
          <cell r="F217">
            <v>165.6</v>
          </cell>
        </row>
        <row r="219">
          <cell r="A219" t="str">
            <v>10.2.3</v>
          </cell>
          <cell r="B219" t="str">
            <v>Fornecimento e montagem de divisória em fenólico, lacada na cor branca, igual à existente, incluindo todos os acessórios ao seu bom funcionamento. - Inclui 2 portas de batente e 2 divisórias</v>
          </cell>
          <cell r="C219" t="str">
            <v>un</v>
          </cell>
          <cell r="D219">
            <v>1</v>
          </cell>
          <cell r="E219">
            <v>1254.4000000000001</v>
          </cell>
          <cell r="F219">
            <v>1254.4000000000001</v>
          </cell>
        </row>
        <row r="221">
          <cell r="A221" t="str">
            <v>11</v>
          </cell>
          <cell r="B221" t="str">
            <v>COPA</v>
          </cell>
          <cell r="F221">
            <v>4896.3100000000004</v>
          </cell>
        </row>
        <row r="223">
          <cell r="A223" t="str">
            <v>11.1</v>
          </cell>
          <cell r="B223" t="str">
            <v>Fornecimento e montagem de móveis e prateleira c/ estrutura  e portas em post-forming,  cor branca RAL 9010, incluindo todos os trabalhos necessários ao seu bom funcionamento, conforme desenho pormenor.</v>
          </cell>
          <cell r="C223" t="str">
            <v>un</v>
          </cell>
          <cell r="D223">
            <v>1</v>
          </cell>
          <cell r="E223">
            <v>2133.33</v>
          </cell>
          <cell r="F223">
            <v>2133.33</v>
          </cell>
        </row>
        <row r="225">
          <cell r="A225" t="str">
            <v>11.2</v>
          </cell>
          <cell r="B225" t="str">
            <v>Fornecimento e assentamento de tampo em silestone, com 3 cm de espessura, “Mont Blanc”, incluindo fixações e acessórios necessários ao seu bom funcionamento, conforme desenhos.</v>
          </cell>
        </row>
        <row r="227">
          <cell r="B227" t="str">
            <v>3,35m X 0,60m</v>
          </cell>
          <cell r="C227" t="str">
            <v>un</v>
          </cell>
          <cell r="D227">
            <v>1</v>
          </cell>
          <cell r="E227">
            <v>828.77</v>
          </cell>
          <cell r="F227">
            <v>828.77</v>
          </cell>
        </row>
        <row r="229">
          <cell r="A229" t="str">
            <v>11.3</v>
          </cell>
          <cell r="B229" t="str">
            <v>Fornecimento e assentamento de cuba individual em aço inox da Teka modelo Linea 400400, incluindo fixações e acessórios necessários ao seu bom funcionamento.</v>
          </cell>
          <cell r="C229" t="str">
            <v>un</v>
          </cell>
          <cell r="D229">
            <v>1</v>
          </cell>
          <cell r="E229">
            <v>634.55999999999995</v>
          </cell>
          <cell r="F229">
            <v>634.55999999999995</v>
          </cell>
        </row>
        <row r="231">
          <cell r="A231" t="str">
            <v>Opção</v>
          </cell>
          <cell r="B231" t="str">
            <v>Fornecimento e assentamento de cuba individual em aço inox da Rodi,  incluindo fixações e acessórios necessários ao seu bom funcionamento.</v>
          </cell>
          <cell r="C231" t="str">
            <v>un</v>
          </cell>
          <cell r="D231">
            <v>1</v>
          </cell>
          <cell r="E231">
            <v>206.24</v>
          </cell>
        </row>
        <row r="233">
          <cell r="A233" t="str">
            <v>11.4</v>
          </cell>
          <cell r="B233" t="str">
            <v>Fornecimento e assentamento  de misturadora de banca c/ bica giratória, da Valadares mod. Assi, incluindo fixações e acessórios necessários ao seu bom funcionamento.</v>
          </cell>
          <cell r="C233" t="str">
            <v>un</v>
          </cell>
          <cell r="D233">
            <v>1</v>
          </cell>
          <cell r="E233">
            <v>195.2</v>
          </cell>
          <cell r="F233">
            <v>195.2</v>
          </cell>
        </row>
        <row r="235">
          <cell r="A235" t="str">
            <v>Opção</v>
          </cell>
          <cell r="B235" t="str">
            <v>Fornecimento e assentamento  de misturadora de banca  da OFA Stillo, incluindo fixações e acessórios necessários ao seu bom funcionamento.</v>
          </cell>
          <cell r="C235" t="str">
            <v>un</v>
          </cell>
          <cell r="D235">
            <v>1</v>
          </cell>
          <cell r="E235">
            <v>163.31</v>
          </cell>
        </row>
        <row r="237">
          <cell r="A237" t="str">
            <v>11.5</v>
          </cell>
          <cell r="B237" t="str">
            <v xml:space="preserve">Fornecimento e montagem de Frigorífico de encastrar Ariston BTSZ 1620 I - FIS 124 </v>
          </cell>
          <cell r="C237" t="str">
            <v>un</v>
          </cell>
          <cell r="D237">
            <v>1</v>
          </cell>
          <cell r="E237">
            <v>495.56</v>
          </cell>
          <cell r="F237">
            <v>495.56</v>
          </cell>
        </row>
        <row r="239">
          <cell r="A239" t="str">
            <v>11.6</v>
          </cell>
          <cell r="B239" t="str">
            <v>Fornecimento e montagem de Máquina de lavar loiça de encastrar Fagor 2LF-065IT</v>
          </cell>
          <cell r="C239" t="str">
            <v>un</v>
          </cell>
          <cell r="D239">
            <v>1</v>
          </cell>
          <cell r="E239">
            <v>608.89</v>
          </cell>
          <cell r="F239">
            <v>608.89</v>
          </cell>
        </row>
        <row r="241">
          <cell r="A241" t="str">
            <v>12</v>
          </cell>
          <cell r="B241" t="str">
            <v>DIVERSOS</v>
          </cell>
          <cell r="F241">
            <v>26617.915000000001</v>
          </cell>
        </row>
        <row r="243">
          <cell r="A243" t="str">
            <v>12.1</v>
          </cell>
          <cell r="B243" t="str">
            <v>Fornecimento e execução de balcão de atendimento com estrutura e tampo em MDF para pintar, revestido na frente, lados e tampo com vidro pintado (tipo lacobel) de cor branca RAL 9010, incluindo todos os trabalhos necessários à sua boa execução, conforme de</v>
          </cell>
          <cell r="C243" t="str">
            <v>un</v>
          </cell>
          <cell r="D243">
            <v>1</v>
          </cell>
          <cell r="E243">
            <v>2840</v>
          </cell>
          <cell r="F243">
            <v>2840</v>
          </cell>
        </row>
        <row r="245">
          <cell r="A245" t="str">
            <v>12.2</v>
          </cell>
          <cell r="B245" t="str">
            <v>Fornecimento e assentamento de tubos em alumínio lacados a branco, de dimensão variável, incluindo todos os trabalhos necessários à sua boa execução, conforme desenho de pormenor.</v>
          </cell>
        </row>
        <row r="247">
          <cell r="B247" t="str">
            <v>A = diâm. 10cm  B = diâm. 6Cm  C = diâm. 3Cm</v>
          </cell>
          <cell r="C247" t="str">
            <v>un</v>
          </cell>
          <cell r="D247">
            <v>45</v>
          </cell>
          <cell r="E247">
            <v>57.19</v>
          </cell>
          <cell r="F247">
            <v>2573.5499999999997</v>
          </cell>
        </row>
        <row r="249">
          <cell r="A249" t="str">
            <v>12.3</v>
          </cell>
          <cell r="B249" t="str">
            <v>Fornecimento e assentamento de vãos fixos em vidro (0,50m), transparente lâminado, com 5+5mm ou 10mm de espessura, perfis em alumínio na cor cinzenta, incluindo todas as fixações e acessórios necessários ao seu bom funcionamento, conforme desenho de porme</v>
          </cell>
          <cell r="C249" t="str">
            <v>m²</v>
          </cell>
          <cell r="D249">
            <v>9</v>
          </cell>
          <cell r="E249">
            <v>90.67</v>
          </cell>
          <cell r="F249">
            <v>816.03</v>
          </cell>
        </row>
        <row r="251">
          <cell r="A251" t="str">
            <v>12.4</v>
          </cell>
          <cell r="B251" t="str">
            <v>Fornecimento e assentamento de perfil c\ iluminação (zona da administração) contínuo em perfil U (0,10x0,10) lacado a tinta de esmalte cinzenta, incluindo fixações e acessórios necessários ao seu bom acabamento, conforme pormenor.</v>
          </cell>
          <cell r="C251" t="str">
            <v>m</v>
          </cell>
          <cell r="D251">
            <v>16</v>
          </cell>
          <cell r="E251">
            <v>249.55</v>
          </cell>
          <cell r="F251">
            <v>3992.8</v>
          </cell>
        </row>
        <row r="253">
          <cell r="A253" t="str">
            <v>12.5</v>
          </cell>
          <cell r="B253" t="str">
            <v>Fornecimento e assentamento de bandeira de portas em painéis de MDF ou madeira maciça, com 20mm de espessura, lacados na cor bege, cor a definir,  incluindo fixações e acessórios necessários ao seu bom funcionamento, conforme desenhos.</v>
          </cell>
          <cell r="F253" t="str">
            <v>Incluido</v>
          </cell>
        </row>
        <row r="255">
          <cell r="A255" t="str">
            <v>12.6</v>
          </cell>
          <cell r="B255" t="str">
            <v>Modificação da porta de entrada principal opaca, por um núcleo central em vidro emoldurado, pintada na cor branca, incluindo todos os trabalhos necessários ao seu bom funcionamento.</v>
          </cell>
        </row>
        <row r="257">
          <cell r="B257" t="str">
            <v>Zona central em vidro</v>
          </cell>
          <cell r="C257" t="str">
            <v>un</v>
          </cell>
          <cell r="D257">
            <v>1</v>
          </cell>
          <cell r="E257">
            <v>109.2</v>
          </cell>
          <cell r="F257">
            <v>109.2</v>
          </cell>
        </row>
        <row r="258">
          <cell r="B258" t="str">
            <v>1,80m x 0,70m</v>
          </cell>
        </row>
        <row r="260">
          <cell r="A260" t="str">
            <v>12.7</v>
          </cell>
          <cell r="B260" t="str">
            <v xml:space="preserve">Fornecimento e instalação de estores de rolo eléctricos, da Bandalux, com caixa e sistema terminal oculto, incluindo todos os acessórios necessários ao seu bom funcionamento. </v>
          </cell>
        </row>
        <row r="262">
          <cell r="B262" t="str">
            <v xml:space="preserve"> (h = aprox. 3,00m)</v>
          </cell>
          <cell r="C262" t="str">
            <v>m</v>
          </cell>
          <cell r="D262">
            <v>81.5</v>
          </cell>
          <cell r="E262">
            <v>194.09</v>
          </cell>
          <cell r="F262">
            <v>15818.335000000001</v>
          </cell>
        </row>
        <row r="264">
          <cell r="A264" t="str">
            <v>Opção</v>
          </cell>
          <cell r="B264" t="str">
            <v xml:space="preserve">Fornecimento e instalação de estores de rolo manuais, da Hofesa incluindo todos os acessórios necessários ao seu bom funcionamento. </v>
          </cell>
        </row>
        <row r="266">
          <cell r="B266" t="str">
            <v xml:space="preserve"> (h = aprox. 3,00m)</v>
          </cell>
          <cell r="C266" t="str">
            <v>m</v>
          </cell>
          <cell r="D266">
            <v>81.5</v>
          </cell>
          <cell r="E266">
            <v>109.36</v>
          </cell>
        </row>
        <row r="268">
          <cell r="A268" t="str">
            <v>12.8</v>
          </cell>
          <cell r="B268" t="str">
            <v>Fornecimento e montagem de Placa em acrílico com logotipo da empresa (ENTRADA PRINCIPAL), 2 cm de espessura, lacado na cor branca, fixo à parede por peças cromadas.</v>
          </cell>
        </row>
        <row r="270">
          <cell r="B270" t="str">
            <v>1,20m x 1,20m</v>
          </cell>
          <cell r="C270" t="str">
            <v>un</v>
          </cell>
          <cell r="D270">
            <v>1</v>
          </cell>
          <cell r="E270">
            <v>468</v>
          </cell>
          <cell r="F270">
            <v>468</v>
          </cell>
        </row>
        <row r="272">
          <cell r="A272" t="str">
            <v>TOTAL ORÇAMENTO</v>
          </cell>
          <cell r="F272">
            <v>151892.59400000001</v>
          </cell>
        </row>
      </sheetData>
      <sheetData sheetId="2"/>
      <sheetData sheetId="3"/>
      <sheetData sheetId="4"/>
      <sheetData sheetId="5"/>
      <sheetData sheetId="6"/>
      <sheetData sheetId="7"/>
      <sheetData sheetId="8"/>
      <sheetData sheetId="9"/>
      <sheetData sheetId="10"/>
      <sheetData sheetId="11"/>
      <sheetData sheetId="12"/>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0"/>
  </sheetPr>
  <dimension ref="B1:E84"/>
  <sheetViews>
    <sheetView showZeros="0" zoomScaleNormal="100" zoomScaleSheetLayoutView="100" zoomScalePageLayoutView="85" workbookViewId="0">
      <selection activeCell="C25" sqref="C25"/>
    </sheetView>
  </sheetViews>
  <sheetFormatPr defaultRowHeight="12.75"/>
  <cols>
    <col min="1" max="1" width="2.5703125" style="1" customWidth="1"/>
    <col min="2" max="2" width="9.42578125" style="30" customWidth="1"/>
    <col min="3" max="3" width="64.7109375" style="31" customWidth="1"/>
    <col min="4" max="4" width="16.140625" style="1" customWidth="1"/>
    <col min="5" max="5" width="16.140625" style="33" customWidth="1"/>
    <col min="6" max="236" width="9.140625" style="1"/>
    <col min="237" max="237" width="2.5703125" style="1" customWidth="1"/>
    <col min="238" max="238" width="13.7109375" style="1" customWidth="1"/>
    <col min="239" max="239" width="62.42578125" style="1" customWidth="1"/>
    <col min="240" max="240" width="6" style="1" customWidth="1"/>
    <col min="241" max="241" width="9.5703125" style="1" customWidth="1"/>
    <col min="242" max="242" width="15.140625" style="1" customWidth="1"/>
    <col min="243" max="243" width="16.85546875" style="1" customWidth="1"/>
    <col min="244" max="244" width="12" style="1" customWidth="1"/>
    <col min="245" max="245" width="3.85546875" style="1" customWidth="1"/>
    <col min="246" max="246" width="8.85546875" style="1" customWidth="1"/>
    <col min="247" max="247" width="11.5703125" style="1" bestFit="1" customWidth="1"/>
    <col min="248" max="248" width="16.42578125" style="1" bestFit="1" customWidth="1"/>
    <col min="249" max="249" width="8.5703125" style="1" bestFit="1" customWidth="1"/>
    <col min="250" max="250" width="17.42578125" style="1" customWidth="1"/>
    <col min="251" max="492" width="9.140625" style="1"/>
    <col min="493" max="493" width="2.5703125" style="1" customWidth="1"/>
    <col min="494" max="494" width="13.7109375" style="1" customWidth="1"/>
    <col min="495" max="495" width="62.42578125" style="1" customWidth="1"/>
    <col min="496" max="496" width="6" style="1" customWidth="1"/>
    <col min="497" max="497" width="9.5703125" style="1" customWidth="1"/>
    <col min="498" max="498" width="15.140625" style="1" customWidth="1"/>
    <col min="499" max="499" width="16.85546875" style="1" customWidth="1"/>
    <col min="500" max="500" width="12" style="1" customWidth="1"/>
    <col min="501" max="501" width="3.85546875" style="1" customWidth="1"/>
    <col min="502" max="502" width="8.85546875" style="1" customWidth="1"/>
    <col min="503" max="503" width="11.5703125" style="1" bestFit="1" customWidth="1"/>
    <col min="504" max="504" width="16.42578125" style="1" bestFit="1" customWidth="1"/>
    <col min="505" max="505" width="8.5703125" style="1" bestFit="1" customWidth="1"/>
    <col min="506" max="506" width="17.42578125" style="1" customWidth="1"/>
    <col min="507" max="748" width="9.140625" style="1"/>
    <col min="749" max="749" width="2.5703125" style="1" customWidth="1"/>
    <col min="750" max="750" width="13.7109375" style="1" customWidth="1"/>
    <col min="751" max="751" width="62.42578125" style="1" customWidth="1"/>
    <col min="752" max="752" width="6" style="1" customWidth="1"/>
    <col min="753" max="753" width="9.5703125" style="1" customWidth="1"/>
    <col min="754" max="754" width="15.140625" style="1" customWidth="1"/>
    <col min="755" max="755" width="16.85546875" style="1" customWidth="1"/>
    <col min="756" max="756" width="12" style="1" customWidth="1"/>
    <col min="757" max="757" width="3.85546875" style="1" customWidth="1"/>
    <col min="758" max="758" width="8.85546875" style="1" customWidth="1"/>
    <col min="759" max="759" width="11.5703125" style="1" bestFit="1" customWidth="1"/>
    <col min="760" max="760" width="16.42578125" style="1" bestFit="1" customWidth="1"/>
    <col min="761" max="761" width="8.5703125" style="1" bestFit="1" customWidth="1"/>
    <col min="762" max="762" width="17.42578125" style="1" customWidth="1"/>
    <col min="763" max="1004" width="9.140625" style="1"/>
    <col min="1005" max="1005" width="2.5703125" style="1" customWidth="1"/>
    <col min="1006" max="1006" width="13.7109375" style="1" customWidth="1"/>
    <col min="1007" max="1007" width="62.42578125" style="1" customWidth="1"/>
    <col min="1008" max="1008" width="6" style="1" customWidth="1"/>
    <col min="1009" max="1009" width="9.5703125" style="1" customWidth="1"/>
    <col min="1010" max="1010" width="15.140625" style="1" customWidth="1"/>
    <col min="1011" max="1011" width="16.85546875" style="1" customWidth="1"/>
    <col min="1012" max="1012" width="12" style="1" customWidth="1"/>
    <col min="1013" max="1013" width="3.85546875" style="1" customWidth="1"/>
    <col min="1014" max="1014" width="8.85546875" style="1" customWidth="1"/>
    <col min="1015" max="1015" width="11.5703125" style="1" bestFit="1" customWidth="1"/>
    <col min="1016" max="1016" width="16.42578125" style="1" bestFit="1" customWidth="1"/>
    <col min="1017" max="1017" width="8.5703125" style="1" bestFit="1" customWidth="1"/>
    <col min="1018" max="1018" width="17.42578125" style="1" customWidth="1"/>
    <col min="1019" max="1260" width="9.140625" style="1"/>
    <col min="1261" max="1261" width="2.5703125" style="1" customWidth="1"/>
    <col min="1262" max="1262" width="13.7109375" style="1" customWidth="1"/>
    <col min="1263" max="1263" width="62.42578125" style="1" customWidth="1"/>
    <col min="1264" max="1264" width="6" style="1" customWidth="1"/>
    <col min="1265" max="1265" width="9.5703125" style="1" customWidth="1"/>
    <col min="1266" max="1266" width="15.140625" style="1" customWidth="1"/>
    <col min="1267" max="1267" width="16.85546875" style="1" customWidth="1"/>
    <col min="1268" max="1268" width="12" style="1" customWidth="1"/>
    <col min="1269" max="1269" width="3.85546875" style="1" customWidth="1"/>
    <col min="1270" max="1270" width="8.85546875" style="1" customWidth="1"/>
    <col min="1271" max="1271" width="11.5703125" style="1" bestFit="1" customWidth="1"/>
    <col min="1272" max="1272" width="16.42578125" style="1" bestFit="1" customWidth="1"/>
    <col min="1273" max="1273" width="8.5703125" style="1" bestFit="1" customWidth="1"/>
    <col min="1274" max="1274" width="17.42578125" style="1" customWidth="1"/>
    <col min="1275" max="1516" width="9.140625" style="1"/>
    <col min="1517" max="1517" width="2.5703125" style="1" customWidth="1"/>
    <col min="1518" max="1518" width="13.7109375" style="1" customWidth="1"/>
    <col min="1519" max="1519" width="62.42578125" style="1" customWidth="1"/>
    <col min="1520" max="1520" width="6" style="1" customWidth="1"/>
    <col min="1521" max="1521" width="9.5703125" style="1" customWidth="1"/>
    <col min="1522" max="1522" width="15.140625" style="1" customWidth="1"/>
    <col min="1523" max="1523" width="16.85546875" style="1" customWidth="1"/>
    <col min="1524" max="1524" width="12" style="1" customWidth="1"/>
    <col min="1525" max="1525" width="3.85546875" style="1" customWidth="1"/>
    <col min="1526" max="1526" width="8.85546875" style="1" customWidth="1"/>
    <col min="1527" max="1527" width="11.5703125" style="1" bestFit="1" customWidth="1"/>
    <col min="1528" max="1528" width="16.42578125" style="1" bestFit="1" customWidth="1"/>
    <col min="1529" max="1529" width="8.5703125" style="1" bestFit="1" customWidth="1"/>
    <col min="1530" max="1530" width="17.42578125" style="1" customWidth="1"/>
    <col min="1531" max="1772" width="9.140625" style="1"/>
    <col min="1773" max="1773" width="2.5703125" style="1" customWidth="1"/>
    <col min="1774" max="1774" width="13.7109375" style="1" customWidth="1"/>
    <col min="1775" max="1775" width="62.42578125" style="1" customWidth="1"/>
    <col min="1776" max="1776" width="6" style="1" customWidth="1"/>
    <col min="1777" max="1777" width="9.5703125" style="1" customWidth="1"/>
    <col min="1778" max="1778" width="15.140625" style="1" customWidth="1"/>
    <col min="1779" max="1779" width="16.85546875" style="1" customWidth="1"/>
    <col min="1780" max="1780" width="12" style="1" customWidth="1"/>
    <col min="1781" max="1781" width="3.85546875" style="1" customWidth="1"/>
    <col min="1782" max="1782" width="8.85546875" style="1" customWidth="1"/>
    <col min="1783" max="1783" width="11.5703125" style="1" bestFit="1" customWidth="1"/>
    <col min="1784" max="1784" width="16.42578125" style="1" bestFit="1" customWidth="1"/>
    <col min="1785" max="1785" width="8.5703125" style="1" bestFit="1" customWidth="1"/>
    <col min="1786" max="1786" width="17.42578125" style="1" customWidth="1"/>
    <col min="1787" max="2028" width="9.140625" style="1"/>
    <col min="2029" max="2029" width="2.5703125" style="1" customWidth="1"/>
    <col min="2030" max="2030" width="13.7109375" style="1" customWidth="1"/>
    <col min="2031" max="2031" width="62.42578125" style="1" customWidth="1"/>
    <col min="2032" max="2032" width="6" style="1" customWidth="1"/>
    <col min="2033" max="2033" width="9.5703125" style="1" customWidth="1"/>
    <col min="2034" max="2034" width="15.140625" style="1" customWidth="1"/>
    <col min="2035" max="2035" width="16.85546875" style="1" customWidth="1"/>
    <col min="2036" max="2036" width="12" style="1" customWidth="1"/>
    <col min="2037" max="2037" width="3.85546875" style="1" customWidth="1"/>
    <col min="2038" max="2038" width="8.85546875" style="1" customWidth="1"/>
    <col min="2039" max="2039" width="11.5703125" style="1" bestFit="1" customWidth="1"/>
    <col min="2040" max="2040" width="16.42578125" style="1" bestFit="1" customWidth="1"/>
    <col min="2041" max="2041" width="8.5703125" style="1" bestFit="1" customWidth="1"/>
    <col min="2042" max="2042" width="17.42578125" style="1" customWidth="1"/>
    <col min="2043" max="2284" width="9.140625" style="1"/>
    <col min="2285" max="2285" width="2.5703125" style="1" customWidth="1"/>
    <col min="2286" max="2286" width="13.7109375" style="1" customWidth="1"/>
    <col min="2287" max="2287" width="62.42578125" style="1" customWidth="1"/>
    <col min="2288" max="2288" width="6" style="1" customWidth="1"/>
    <col min="2289" max="2289" width="9.5703125" style="1" customWidth="1"/>
    <col min="2290" max="2290" width="15.140625" style="1" customWidth="1"/>
    <col min="2291" max="2291" width="16.85546875" style="1" customWidth="1"/>
    <col min="2292" max="2292" width="12" style="1" customWidth="1"/>
    <col min="2293" max="2293" width="3.85546875" style="1" customWidth="1"/>
    <col min="2294" max="2294" width="8.85546875" style="1" customWidth="1"/>
    <col min="2295" max="2295" width="11.5703125" style="1" bestFit="1" customWidth="1"/>
    <col min="2296" max="2296" width="16.42578125" style="1" bestFit="1" customWidth="1"/>
    <col min="2297" max="2297" width="8.5703125" style="1" bestFit="1" customWidth="1"/>
    <col min="2298" max="2298" width="17.42578125" style="1" customWidth="1"/>
    <col min="2299" max="2540" width="9.140625" style="1"/>
    <col min="2541" max="2541" width="2.5703125" style="1" customWidth="1"/>
    <col min="2542" max="2542" width="13.7109375" style="1" customWidth="1"/>
    <col min="2543" max="2543" width="62.42578125" style="1" customWidth="1"/>
    <col min="2544" max="2544" width="6" style="1" customWidth="1"/>
    <col min="2545" max="2545" width="9.5703125" style="1" customWidth="1"/>
    <col min="2546" max="2546" width="15.140625" style="1" customWidth="1"/>
    <col min="2547" max="2547" width="16.85546875" style="1" customWidth="1"/>
    <col min="2548" max="2548" width="12" style="1" customWidth="1"/>
    <col min="2549" max="2549" width="3.85546875" style="1" customWidth="1"/>
    <col min="2550" max="2550" width="8.85546875" style="1" customWidth="1"/>
    <col min="2551" max="2551" width="11.5703125" style="1" bestFit="1" customWidth="1"/>
    <col min="2552" max="2552" width="16.42578125" style="1" bestFit="1" customWidth="1"/>
    <col min="2553" max="2553" width="8.5703125" style="1" bestFit="1" customWidth="1"/>
    <col min="2554" max="2554" width="17.42578125" style="1" customWidth="1"/>
    <col min="2555" max="2796" width="9.140625" style="1"/>
    <col min="2797" max="2797" width="2.5703125" style="1" customWidth="1"/>
    <col min="2798" max="2798" width="13.7109375" style="1" customWidth="1"/>
    <col min="2799" max="2799" width="62.42578125" style="1" customWidth="1"/>
    <col min="2800" max="2800" width="6" style="1" customWidth="1"/>
    <col min="2801" max="2801" width="9.5703125" style="1" customWidth="1"/>
    <col min="2802" max="2802" width="15.140625" style="1" customWidth="1"/>
    <col min="2803" max="2803" width="16.85546875" style="1" customWidth="1"/>
    <col min="2804" max="2804" width="12" style="1" customWidth="1"/>
    <col min="2805" max="2805" width="3.85546875" style="1" customWidth="1"/>
    <col min="2806" max="2806" width="8.85546875" style="1" customWidth="1"/>
    <col min="2807" max="2807" width="11.5703125" style="1" bestFit="1" customWidth="1"/>
    <col min="2808" max="2808" width="16.42578125" style="1" bestFit="1" customWidth="1"/>
    <col min="2809" max="2809" width="8.5703125" style="1" bestFit="1" customWidth="1"/>
    <col min="2810" max="2810" width="17.42578125" style="1" customWidth="1"/>
    <col min="2811" max="3052" width="9.140625" style="1"/>
    <col min="3053" max="3053" width="2.5703125" style="1" customWidth="1"/>
    <col min="3054" max="3054" width="13.7109375" style="1" customWidth="1"/>
    <col min="3055" max="3055" width="62.42578125" style="1" customWidth="1"/>
    <col min="3056" max="3056" width="6" style="1" customWidth="1"/>
    <col min="3057" max="3057" width="9.5703125" style="1" customWidth="1"/>
    <col min="3058" max="3058" width="15.140625" style="1" customWidth="1"/>
    <col min="3059" max="3059" width="16.85546875" style="1" customWidth="1"/>
    <col min="3060" max="3060" width="12" style="1" customWidth="1"/>
    <col min="3061" max="3061" width="3.85546875" style="1" customWidth="1"/>
    <col min="3062" max="3062" width="8.85546875" style="1" customWidth="1"/>
    <col min="3063" max="3063" width="11.5703125" style="1" bestFit="1" customWidth="1"/>
    <col min="3064" max="3064" width="16.42578125" style="1" bestFit="1" customWidth="1"/>
    <col min="3065" max="3065" width="8.5703125" style="1" bestFit="1" customWidth="1"/>
    <col min="3066" max="3066" width="17.42578125" style="1" customWidth="1"/>
    <col min="3067" max="3308" width="9.140625" style="1"/>
    <col min="3309" max="3309" width="2.5703125" style="1" customWidth="1"/>
    <col min="3310" max="3310" width="13.7109375" style="1" customWidth="1"/>
    <col min="3311" max="3311" width="62.42578125" style="1" customWidth="1"/>
    <col min="3312" max="3312" width="6" style="1" customWidth="1"/>
    <col min="3313" max="3313" width="9.5703125" style="1" customWidth="1"/>
    <col min="3314" max="3314" width="15.140625" style="1" customWidth="1"/>
    <col min="3315" max="3315" width="16.85546875" style="1" customWidth="1"/>
    <col min="3316" max="3316" width="12" style="1" customWidth="1"/>
    <col min="3317" max="3317" width="3.85546875" style="1" customWidth="1"/>
    <col min="3318" max="3318" width="8.85546875" style="1" customWidth="1"/>
    <col min="3319" max="3319" width="11.5703125" style="1" bestFit="1" customWidth="1"/>
    <col min="3320" max="3320" width="16.42578125" style="1" bestFit="1" customWidth="1"/>
    <col min="3321" max="3321" width="8.5703125" style="1" bestFit="1" customWidth="1"/>
    <col min="3322" max="3322" width="17.42578125" style="1" customWidth="1"/>
    <col min="3323" max="3564" width="9.140625" style="1"/>
    <col min="3565" max="3565" width="2.5703125" style="1" customWidth="1"/>
    <col min="3566" max="3566" width="13.7109375" style="1" customWidth="1"/>
    <col min="3567" max="3567" width="62.42578125" style="1" customWidth="1"/>
    <col min="3568" max="3568" width="6" style="1" customWidth="1"/>
    <col min="3569" max="3569" width="9.5703125" style="1" customWidth="1"/>
    <col min="3570" max="3570" width="15.140625" style="1" customWidth="1"/>
    <col min="3571" max="3571" width="16.85546875" style="1" customWidth="1"/>
    <col min="3572" max="3572" width="12" style="1" customWidth="1"/>
    <col min="3573" max="3573" width="3.85546875" style="1" customWidth="1"/>
    <col min="3574" max="3574" width="8.85546875" style="1" customWidth="1"/>
    <col min="3575" max="3575" width="11.5703125" style="1" bestFit="1" customWidth="1"/>
    <col min="3576" max="3576" width="16.42578125" style="1" bestFit="1" customWidth="1"/>
    <col min="3577" max="3577" width="8.5703125" style="1" bestFit="1" customWidth="1"/>
    <col min="3578" max="3578" width="17.42578125" style="1" customWidth="1"/>
    <col min="3579" max="3820" width="9.140625" style="1"/>
    <col min="3821" max="3821" width="2.5703125" style="1" customWidth="1"/>
    <col min="3822" max="3822" width="13.7109375" style="1" customWidth="1"/>
    <col min="3823" max="3823" width="62.42578125" style="1" customWidth="1"/>
    <col min="3824" max="3824" width="6" style="1" customWidth="1"/>
    <col min="3825" max="3825" width="9.5703125" style="1" customWidth="1"/>
    <col min="3826" max="3826" width="15.140625" style="1" customWidth="1"/>
    <col min="3827" max="3827" width="16.85546875" style="1" customWidth="1"/>
    <col min="3828" max="3828" width="12" style="1" customWidth="1"/>
    <col min="3829" max="3829" width="3.85546875" style="1" customWidth="1"/>
    <col min="3830" max="3830" width="8.85546875" style="1" customWidth="1"/>
    <col min="3831" max="3831" width="11.5703125" style="1" bestFit="1" customWidth="1"/>
    <col min="3832" max="3832" width="16.42578125" style="1" bestFit="1" customWidth="1"/>
    <col min="3833" max="3833" width="8.5703125" style="1" bestFit="1" customWidth="1"/>
    <col min="3834" max="3834" width="17.42578125" style="1" customWidth="1"/>
    <col min="3835" max="4076" width="9.140625" style="1"/>
    <col min="4077" max="4077" width="2.5703125" style="1" customWidth="1"/>
    <col min="4078" max="4078" width="13.7109375" style="1" customWidth="1"/>
    <col min="4079" max="4079" width="62.42578125" style="1" customWidth="1"/>
    <col min="4080" max="4080" width="6" style="1" customWidth="1"/>
    <col min="4081" max="4081" width="9.5703125" style="1" customWidth="1"/>
    <col min="4082" max="4082" width="15.140625" style="1" customWidth="1"/>
    <col min="4083" max="4083" width="16.85546875" style="1" customWidth="1"/>
    <col min="4084" max="4084" width="12" style="1" customWidth="1"/>
    <col min="4085" max="4085" width="3.85546875" style="1" customWidth="1"/>
    <col min="4086" max="4086" width="8.85546875" style="1" customWidth="1"/>
    <col min="4087" max="4087" width="11.5703125" style="1" bestFit="1" customWidth="1"/>
    <col min="4088" max="4088" width="16.42578125" style="1" bestFit="1" customWidth="1"/>
    <col min="4089" max="4089" width="8.5703125" style="1" bestFit="1" customWidth="1"/>
    <col min="4090" max="4090" width="17.42578125" style="1" customWidth="1"/>
    <col min="4091" max="4332" width="9.140625" style="1"/>
    <col min="4333" max="4333" width="2.5703125" style="1" customWidth="1"/>
    <col min="4334" max="4334" width="13.7109375" style="1" customWidth="1"/>
    <col min="4335" max="4335" width="62.42578125" style="1" customWidth="1"/>
    <col min="4336" max="4336" width="6" style="1" customWidth="1"/>
    <col min="4337" max="4337" width="9.5703125" style="1" customWidth="1"/>
    <col min="4338" max="4338" width="15.140625" style="1" customWidth="1"/>
    <col min="4339" max="4339" width="16.85546875" style="1" customWidth="1"/>
    <col min="4340" max="4340" width="12" style="1" customWidth="1"/>
    <col min="4341" max="4341" width="3.85546875" style="1" customWidth="1"/>
    <col min="4342" max="4342" width="8.85546875" style="1" customWidth="1"/>
    <col min="4343" max="4343" width="11.5703125" style="1" bestFit="1" customWidth="1"/>
    <col min="4344" max="4344" width="16.42578125" style="1" bestFit="1" customWidth="1"/>
    <col min="4345" max="4345" width="8.5703125" style="1" bestFit="1" customWidth="1"/>
    <col min="4346" max="4346" width="17.42578125" style="1" customWidth="1"/>
    <col min="4347" max="4588" width="9.140625" style="1"/>
    <col min="4589" max="4589" width="2.5703125" style="1" customWidth="1"/>
    <col min="4590" max="4590" width="13.7109375" style="1" customWidth="1"/>
    <col min="4591" max="4591" width="62.42578125" style="1" customWidth="1"/>
    <col min="4592" max="4592" width="6" style="1" customWidth="1"/>
    <col min="4593" max="4593" width="9.5703125" style="1" customWidth="1"/>
    <col min="4594" max="4594" width="15.140625" style="1" customWidth="1"/>
    <col min="4595" max="4595" width="16.85546875" style="1" customWidth="1"/>
    <col min="4596" max="4596" width="12" style="1" customWidth="1"/>
    <col min="4597" max="4597" width="3.85546875" style="1" customWidth="1"/>
    <col min="4598" max="4598" width="8.85546875" style="1" customWidth="1"/>
    <col min="4599" max="4599" width="11.5703125" style="1" bestFit="1" customWidth="1"/>
    <col min="4600" max="4600" width="16.42578125" style="1" bestFit="1" customWidth="1"/>
    <col min="4601" max="4601" width="8.5703125" style="1" bestFit="1" customWidth="1"/>
    <col min="4602" max="4602" width="17.42578125" style="1" customWidth="1"/>
    <col min="4603" max="4844" width="9.140625" style="1"/>
    <col min="4845" max="4845" width="2.5703125" style="1" customWidth="1"/>
    <col min="4846" max="4846" width="13.7109375" style="1" customWidth="1"/>
    <col min="4847" max="4847" width="62.42578125" style="1" customWidth="1"/>
    <col min="4848" max="4848" width="6" style="1" customWidth="1"/>
    <col min="4849" max="4849" width="9.5703125" style="1" customWidth="1"/>
    <col min="4850" max="4850" width="15.140625" style="1" customWidth="1"/>
    <col min="4851" max="4851" width="16.85546875" style="1" customWidth="1"/>
    <col min="4852" max="4852" width="12" style="1" customWidth="1"/>
    <col min="4853" max="4853" width="3.85546875" style="1" customWidth="1"/>
    <col min="4854" max="4854" width="8.85546875" style="1" customWidth="1"/>
    <col min="4855" max="4855" width="11.5703125" style="1" bestFit="1" customWidth="1"/>
    <col min="4856" max="4856" width="16.42578125" style="1" bestFit="1" customWidth="1"/>
    <col min="4857" max="4857" width="8.5703125" style="1" bestFit="1" customWidth="1"/>
    <col min="4858" max="4858" width="17.42578125" style="1" customWidth="1"/>
    <col min="4859" max="5100" width="9.140625" style="1"/>
    <col min="5101" max="5101" width="2.5703125" style="1" customWidth="1"/>
    <col min="5102" max="5102" width="13.7109375" style="1" customWidth="1"/>
    <col min="5103" max="5103" width="62.42578125" style="1" customWidth="1"/>
    <col min="5104" max="5104" width="6" style="1" customWidth="1"/>
    <col min="5105" max="5105" width="9.5703125" style="1" customWidth="1"/>
    <col min="5106" max="5106" width="15.140625" style="1" customWidth="1"/>
    <col min="5107" max="5107" width="16.85546875" style="1" customWidth="1"/>
    <col min="5108" max="5108" width="12" style="1" customWidth="1"/>
    <col min="5109" max="5109" width="3.85546875" style="1" customWidth="1"/>
    <col min="5110" max="5110" width="8.85546875" style="1" customWidth="1"/>
    <col min="5111" max="5111" width="11.5703125" style="1" bestFit="1" customWidth="1"/>
    <col min="5112" max="5112" width="16.42578125" style="1" bestFit="1" customWidth="1"/>
    <col min="5113" max="5113" width="8.5703125" style="1" bestFit="1" customWidth="1"/>
    <col min="5114" max="5114" width="17.42578125" style="1" customWidth="1"/>
    <col min="5115" max="5356" width="9.140625" style="1"/>
    <col min="5357" max="5357" width="2.5703125" style="1" customWidth="1"/>
    <col min="5358" max="5358" width="13.7109375" style="1" customWidth="1"/>
    <col min="5359" max="5359" width="62.42578125" style="1" customWidth="1"/>
    <col min="5360" max="5360" width="6" style="1" customWidth="1"/>
    <col min="5361" max="5361" width="9.5703125" style="1" customWidth="1"/>
    <col min="5362" max="5362" width="15.140625" style="1" customWidth="1"/>
    <col min="5363" max="5363" width="16.85546875" style="1" customWidth="1"/>
    <col min="5364" max="5364" width="12" style="1" customWidth="1"/>
    <col min="5365" max="5365" width="3.85546875" style="1" customWidth="1"/>
    <col min="5366" max="5366" width="8.85546875" style="1" customWidth="1"/>
    <col min="5367" max="5367" width="11.5703125" style="1" bestFit="1" customWidth="1"/>
    <col min="5368" max="5368" width="16.42578125" style="1" bestFit="1" customWidth="1"/>
    <col min="5369" max="5369" width="8.5703125" style="1" bestFit="1" customWidth="1"/>
    <col min="5370" max="5370" width="17.42578125" style="1" customWidth="1"/>
    <col min="5371" max="5612" width="9.140625" style="1"/>
    <col min="5613" max="5613" width="2.5703125" style="1" customWidth="1"/>
    <col min="5614" max="5614" width="13.7109375" style="1" customWidth="1"/>
    <col min="5615" max="5615" width="62.42578125" style="1" customWidth="1"/>
    <col min="5616" max="5616" width="6" style="1" customWidth="1"/>
    <col min="5617" max="5617" width="9.5703125" style="1" customWidth="1"/>
    <col min="5618" max="5618" width="15.140625" style="1" customWidth="1"/>
    <col min="5619" max="5619" width="16.85546875" style="1" customWidth="1"/>
    <col min="5620" max="5620" width="12" style="1" customWidth="1"/>
    <col min="5621" max="5621" width="3.85546875" style="1" customWidth="1"/>
    <col min="5622" max="5622" width="8.85546875" style="1" customWidth="1"/>
    <col min="5623" max="5623" width="11.5703125" style="1" bestFit="1" customWidth="1"/>
    <col min="5624" max="5624" width="16.42578125" style="1" bestFit="1" customWidth="1"/>
    <col min="5625" max="5625" width="8.5703125" style="1" bestFit="1" customWidth="1"/>
    <col min="5626" max="5626" width="17.42578125" style="1" customWidth="1"/>
    <col min="5627" max="5868" width="9.140625" style="1"/>
    <col min="5869" max="5869" width="2.5703125" style="1" customWidth="1"/>
    <col min="5870" max="5870" width="13.7109375" style="1" customWidth="1"/>
    <col min="5871" max="5871" width="62.42578125" style="1" customWidth="1"/>
    <col min="5872" max="5872" width="6" style="1" customWidth="1"/>
    <col min="5873" max="5873" width="9.5703125" style="1" customWidth="1"/>
    <col min="5874" max="5874" width="15.140625" style="1" customWidth="1"/>
    <col min="5875" max="5875" width="16.85546875" style="1" customWidth="1"/>
    <col min="5876" max="5876" width="12" style="1" customWidth="1"/>
    <col min="5877" max="5877" width="3.85546875" style="1" customWidth="1"/>
    <col min="5878" max="5878" width="8.85546875" style="1" customWidth="1"/>
    <col min="5879" max="5879" width="11.5703125" style="1" bestFit="1" customWidth="1"/>
    <col min="5880" max="5880" width="16.42578125" style="1" bestFit="1" customWidth="1"/>
    <col min="5881" max="5881" width="8.5703125" style="1" bestFit="1" customWidth="1"/>
    <col min="5882" max="5882" width="17.42578125" style="1" customWidth="1"/>
    <col min="5883" max="6124" width="9.140625" style="1"/>
    <col min="6125" max="6125" width="2.5703125" style="1" customWidth="1"/>
    <col min="6126" max="6126" width="13.7109375" style="1" customWidth="1"/>
    <col min="6127" max="6127" width="62.42578125" style="1" customWidth="1"/>
    <col min="6128" max="6128" width="6" style="1" customWidth="1"/>
    <col min="6129" max="6129" width="9.5703125" style="1" customWidth="1"/>
    <col min="6130" max="6130" width="15.140625" style="1" customWidth="1"/>
    <col min="6131" max="6131" width="16.85546875" style="1" customWidth="1"/>
    <col min="6132" max="6132" width="12" style="1" customWidth="1"/>
    <col min="6133" max="6133" width="3.85546875" style="1" customWidth="1"/>
    <col min="6134" max="6134" width="8.85546875" style="1" customWidth="1"/>
    <col min="6135" max="6135" width="11.5703125" style="1" bestFit="1" customWidth="1"/>
    <col min="6136" max="6136" width="16.42578125" style="1" bestFit="1" customWidth="1"/>
    <col min="6137" max="6137" width="8.5703125" style="1" bestFit="1" customWidth="1"/>
    <col min="6138" max="6138" width="17.42578125" style="1" customWidth="1"/>
    <col min="6139" max="6380" width="9.140625" style="1"/>
    <col min="6381" max="6381" width="2.5703125" style="1" customWidth="1"/>
    <col min="6382" max="6382" width="13.7109375" style="1" customWidth="1"/>
    <col min="6383" max="6383" width="62.42578125" style="1" customWidth="1"/>
    <col min="6384" max="6384" width="6" style="1" customWidth="1"/>
    <col min="6385" max="6385" width="9.5703125" style="1" customWidth="1"/>
    <col min="6386" max="6386" width="15.140625" style="1" customWidth="1"/>
    <col min="6387" max="6387" width="16.85546875" style="1" customWidth="1"/>
    <col min="6388" max="6388" width="12" style="1" customWidth="1"/>
    <col min="6389" max="6389" width="3.85546875" style="1" customWidth="1"/>
    <col min="6390" max="6390" width="8.85546875" style="1" customWidth="1"/>
    <col min="6391" max="6391" width="11.5703125" style="1" bestFit="1" customWidth="1"/>
    <col min="6392" max="6392" width="16.42578125" style="1" bestFit="1" customWidth="1"/>
    <col min="6393" max="6393" width="8.5703125" style="1" bestFit="1" customWidth="1"/>
    <col min="6394" max="6394" width="17.42578125" style="1" customWidth="1"/>
    <col min="6395" max="6636" width="9.140625" style="1"/>
    <col min="6637" max="6637" width="2.5703125" style="1" customWidth="1"/>
    <col min="6638" max="6638" width="13.7109375" style="1" customWidth="1"/>
    <col min="6639" max="6639" width="62.42578125" style="1" customWidth="1"/>
    <col min="6640" max="6640" width="6" style="1" customWidth="1"/>
    <col min="6641" max="6641" width="9.5703125" style="1" customWidth="1"/>
    <col min="6642" max="6642" width="15.140625" style="1" customWidth="1"/>
    <col min="6643" max="6643" width="16.85546875" style="1" customWidth="1"/>
    <col min="6644" max="6644" width="12" style="1" customWidth="1"/>
    <col min="6645" max="6645" width="3.85546875" style="1" customWidth="1"/>
    <col min="6646" max="6646" width="8.85546875" style="1" customWidth="1"/>
    <col min="6647" max="6647" width="11.5703125" style="1" bestFit="1" customWidth="1"/>
    <col min="6648" max="6648" width="16.42578125" style="1" bestFit="1" customWidth="1"/>
    <col min="6649" max="6649" width="8.5703125" style="1" bestFit="1" customWidth="1"/>
    <col min="6650" max="6650" width="17.42578125" style="1" customWidth="1"/>
    <col min="6651" max="6892" width="9.140625" style="1"/>
    <col min="6893" max="6893" width="2.5703125" style="1" customWidth="1"/>
    <col min="6894" max="6894" width="13.7109375" style="1" customWidth="1"/>
    <col min="6895" max="6895" width="62.42578125" style="1" customWidth="1"/>
    <col min="6896" max="6896" width="6" style="1" customWidth="1"/>
    <col min="6897" max="6897" width="9.5703125" style="1" customWidth="1"/>
    <col min="6898" max="6898" width="15.140625" style="1" customWidth="1"/>
    <col min="6899" max="6899" width="16.85546875" style="1" customWidth="1"/>
    <col min="6900" max="6900" width="12" style="1" customWidth="1"/>
    <col min="6901" max="6901" width="3.85546875" style="1" customWidth="1"/>
    <col min="6902" max="6902" width="8.85546875" style="1" customWidth="1"/>
    <col min="6903" max="6903" width="11.5703125" style="1" bestFit="1" customWidth="1"/>
    <col min="6904" max="6904" width="16.42578125" style="1" bestFit="1" customWidth="1"/>
    <col min="6905" max="6905" width="8.5703125" style="1" bestFit="1" customWidth="1"/>
    <col min="6906" max="6906" width="17.42578125" style="1" customWidth="1"/>
    <col min="6907" max="7148" width="9.140625" style="1"/>
    <col min="7149" max="7149" width="2.5703125" style="1" customWidth="1"/>
    <col min="7150" max="7150" width="13.7109375" style="1" customWidth="1"/>
    <col min="7151" max="7151" width="62.42578125" style="1" customWidth="1"/>
    <col min="7152" max="7152" width="6" style="1" customWidth="1"/>
    <col min="7153" max="7153" width="9.5703125" style="1" customWidth="1"/>
    <col min="7154" max="7154" width="15.140625" style="1" customWidth="1"/>
    <col min="7155" max="7155" width="16.85546875" style="1" customWidth="1"/>
    <col min="7156" max="7156" width="12" style="1" customWidth="1"/>
    <col min="7157" max="7157" width="3.85546875" style="1" customWidth="1"/>
    <col min="7158" max="7158" width="8.85546875" style="1" customWidth="1"/>
    <col min="7159" max="7159" width="11.5703125" style="1" bestFit="1" customWidth="1"/>
    <col min="7160" max="7160" width="16.42578125" style="1" bestFit="1" customWidth="1"/>
    <col min="7161" max="7161" width="8.5703125" style="1" bestFit="1" customWidth="1"/>
    <col min="7162" max="7162" width="17.42578125" style="1" customWidth="1"/>
    <col min="7163" max="7404" width="9.140625" style="1"/>
    <col min="7405" max="7405" width="2.5703125" style="1" customWidth="1"/>
    <col min="7406" max="7406" width="13.7109375" style="1" customWidth="1"/>
    <col min="7407" max="7407" width="62.42578125" style="1" customWidth="1"/>
    <col min="7408" max="7408" width="6" style="1" customWidth="1"/>
    <col min="7409" max="7409" width="9.5703125" style="1" customWidth="1"/>
    <col min="7410" max="7410" width="15.140625" style="1" customWidth="1"/>
    <col min="7411" max="7411" width="16.85546875" style="1" customWidth="1"/>
    <col min="7412" max="7412" width="12" style="1" customWidth="1"/>
    <col min="7413" max="7413" width="3.85546875" style="1" customWidth="1"/>
    <col min="7414" max="7414" width="8.85546875" style="1" customWidth="1"/>
    <col min="7415" max="7415" width="11.5703125" style="1" bestFit="1" customWidth="1"/>
    <col min="7416" max="7416" width="16.42578125" style="1" bestFit="1" customWidth="1"/>
    <col min="7417" max="7417" width="8.5703125" style="1" bestFit="1" customWidth="1"/>
    <col min="7418" max="7418" width="17.42578125" style="1" customWidth="1"/>
    <col min="7419" max="7660" width="9.140625" style="1"/>
    <col min="7661" max="7661" width="2.5703125" style="1" customWidth="1"/>
    <col min="7662" max="7662" width="13.7109375" style="1" customWidth="1"/>
    <col min="7663" max="7663" width="62.42578125" style="1" customWidth="1"/>
    <col min="7664" max="7664" width="6" style="1" customWidth="1"/>
    <col min="7665" max="7665" width="9.5703125" style="1" customWidth="1"/>
    <col min="7666" max="7666" width="15.140625" style="1" customWidth="1"/>
    <col min="7667" max="7667" width="16.85546875" style="1" customWidth="1"/>
    <col min="7668" max="7668" width="12" style="1" customWidth="1"/>
    <col min="7669" max="7669" width="3.85546875" style="1" customWidth="1"/>
    <col min="7670" max="7670" width="8.85546875" style="1" customWidth="1"/>
    <col min="7671" max="7671" width="11.5703125" style="1" bestFit="1" customWidth="1"/>
    <col min="7672" max="7672" width="16.42578125" style="1" bestFit="1" customWidth="1"/>
    <col min="7673" max="7673" width="8.5703125" style="1" bestFit="1" customWidth="1"/>
    <col min="7674" max="7674" width="17.42578125" style="1" customWidth="1"/>
    <col min="7675" max="7916" width="9.140625" style="1"/>
    <col min="7917" max="7917" width="2.5703125" style="1" customWidth="1"/>
    <col min="7918" max="7918" width="13.7109375" style="1" customWidth="1"/>
    <col min="7919" max="7919" width="62.42578125" style="1" customWidth="1"/>
    <col min="7920" max="7920" width="6" style="1" customWidth="1"/>
    <col min="7921" max="7921" width="9.5703125" style="1" customWidth="1"/>
    <col min="7922" max="7922" width="15.140625" style="1" customWidth="1"/>
    <col min="7923" max="7923" width="16.85546875" style="1" customWidth="1"/>
    <col min="7924" max="7924" width="12" style="1" customWidth="1"/>
    <col min="7925" max="7925" width="3.85546875" style="1" customWidth="1"/>
    <col min="7926" max="7926" width="8.85546875" style="1" customWidth="1"/>
    <col min="7927" max="7927" width="11.5703125" style="1" bestFit="1" customWidth="1"/>
    <col min="7928" max="7928" width="16.42578125" style="1" bestFit="1" customWidth="1"/>
    <col min="7929" max="7929" width="8.5703125" style="1" bestFit="1" customWidth="1"/>
    <col min="7930" max="7930" width="17.42578125" style="1" customWidth="1"/>
    <col min="7931" max="8172" width="9.140625" style="1"/>
    <col min="8173" max="8173" width="2.5703125" style="1" customWidth="1"/>
    <col min="8174" max="8174" width="13.7109375" style="1" customWidth="1"/>
    <col min="8175" max="8175" width="62.42578125" style="1" customWidth="1"/>
    <col min="8176" max="8176" width="6" style="1" customWidth="1"/>
    <col min="8177" max="8177" width="9.5703125" style="1" customWidth="1"/>
    <col min="8178" max="8178" width="15.140625" style="1" customWidth="1"/>
    <col min="8179" max="8179" width="16.85546875" style="1" customWidth="1"/>
    <col min="8180" max="8180" width="12" style="1" customWidth="1"/>
    <col min="8181" max="8181" width="3.85546875" style="1" customWidth="1"/>
    <col min="8182" max="8182" width="8.85546875" style="1" customWidth="1"/>
    <col min="8183" max="8183" width="11.5703125" style="1" bestFit="1" customWidth="1"/>
    <col min="8184" max="8184" width="16.42578125" style="1" bestFit="1" customWidth="1"/>
    <col min="8185" max="8185" width="8.5703125" style="1" bestFit="1" customWidth="1"/>
    <col min="8186" max="8186" width="17.42578125" style="1" customWidth="1"/>
    <col min="8187" max="8428" width="9.140625" style="1"/>
    <col min="8429" max="8429" width="2.5703125" style="1" customWidth="1"/>
    <col min="8430" max="8430" width="13.7109375" style="1" customWidth="1"/>
    <col min="8431" max="8431" width="62.42578125" style="1" customWidth="1"/>
    <col min="8432" max="8432" width="6" style="1" customWidth="1"/>
    <col min="8433" max="8433" width="9.5703125" style="1" customWidth="1"/>
    <col min="8434" max="8434" width="15.140625" style="1" customWidth="1"/>
    <col min="8435" max="8435" width="16.85546875" style="1" customWidth="1"/>
    <col min="8436" max="8436" width="12" style="1" customWidth="1"/>
    <col min="8437" max="8437" width="3.85546875" style="1" customWidth="1"/>
    <col min="8438" max="8438" width="8.85546875" style="1" customWidth="1"/>
    <col min="8439" max="8439" width="11.5703125" style="1" bestFit="1" customWidth="1"/>
    <col min="8440" max="8440" width="16.42578125" style="1" bestFit="1" customWidth="1"/>
    <col min="8441" max="8441" width="8.5703125" style="1" bestFit="1" customWidth="1"/>
    <col min="8442" max="8442" width="17.42578125" style="1" customWidth="1"/>
    <col min="8443" max="8684" width="9.140625" style="1"/>
    <col min="8685" max="8685" width="2.5703125" style="1" customWidth="1"/>
    <col min="8686" max="8686" width="13.7109375" style="1" customWidth="1"/>
    <col min="8687" max="8687" width="62.42578125" style="1" customWidth="1"/>
    <col min="8688" max="8688" width="6" style="1" customWidth="1"/>
    <col min="8689" max="8689" width="9.5703125" style="1" customWidth="1"/>
    <col min="8690" max="8690" width="15.140625" style="1" customWidth="1"/>
    <col min="8691" max="8691" width="16.85546875" style="1" customWidth="1"/>
    <col min="8692" max="8692" width="12" style="1" customWidth="1"/>
    <col min="8693" max="8693" width="3.85546875" style="1" customWidth="1"/>
    <col min="8694" max="8694" width="8.85546875" style="1" customWidth="1"/>
    <col min="8695" max="8695" width="11.5703125" style="1" bestFit="1" customWidth="1"/>
    <col min="8696" max="8696" width="16.42578125" style="1" bestFit="1" customWidth="1"/>
    <col min="8697" max="8697" width="8.5703125" style="1" bestFit="1" customWidth="1"/>
    <col min="8698" max="8698" width="17.42578125" style="1" customWidth="1"/>
    <col min="8699" max="8940" width="9.140625" style="1"/>
    <col min="8941" max="8941" width="2.5703125" style="1" customWidth="1"/>
    <col min="8942" max="8942" width="13.7109375" style="1" customWidth="1"/>
    <col min="8943" max="8943" width="62.42578125" style="1" customWidth="1"/>
    <col min="8944" max="8944" width="6" style="1" customWidth="1"/>
    <col min="8945" max="8945" width="9.5703125" style="1" customWidth="1"/>
    <col min="8946" max="8946" width="15.140625" style="1" customWidth="1"/>
    <col min="8947" max="8947" width="16.85546875" style="1" customWidth="1"/>
    <col min="8948" max="8948" width="12" style="1" customWidth="1"/>
    <col min="8949" max="8949" width="3.85546875" style="1" customWidth="1"/>
    <col min="8950" max="8950" width="8.85546875" style="1" customWidth="1"/>
    <col min="8951" max="8951" width="11.5703125" style="1" bestFit="1" customWidth="1"/>
    <col min="8952" max="8952" width="16.42578125" style="1" bestFit="1" customWidth="1"/>
    <col min="8953" max="8953" width="8.5703125" style="1" bestFit="1" customWidth="1"/>
    <col min="8954" max="8954" width="17.42578125" style="1" customWidth="1"/>
    <col min="8955" max="9196" width="9.140625" style="1"/>
    <col min="9197" max="9197" width="2.5703125" style="1" customWidth="1"/>
    <col min="9198" max="9198" width="13.7109375" style="1" customWidth="1"/>
    <col min="9199" max="9199" width="62.42578125" style="1" customWidth="1"/>
    <col min="9200" max="9200" width="6" style="1" customWidth="1"/>
    <col min="9201" max="9201" width="9.5703125" style="1" customWidth="1"/>
    <col min="9202" max="9202" width="15.140625" style="1" customWidth="1"/>
    <col min="9203" max="9203" width="16.85546875" style="1" customWidth="1"/>
    <col min="9204" max="9204" width="12" style="1" customWidth="1"/>
    <col min="9205" max="9205" width="3.85546875" style="1" customWidth="1"/>
    <col min="9206" max="9206" width="8.85546875" style="1" customWidth="1"/>
    <col min="9207" max="9207" width="11.5703125" style="1" bestFit="1" customWidth="1"/>
    <col min="9208" max="9208" width="16.42578125" style="1" bestFit="1" customWidth="1"/>
    <col min="9209" max="9209" width="8.5703125" style="1" bestFit="1" customWidth="1"/>
    <col min="9210" max="9210" width="17.42578125" style="1" customWidth="1"/>
    <col min="9211" max="9452" width="9.140625" style="1"/>
    <col min="9453" max="9453" width="2.5703125" style="1" customWidth="1"/>
    <col min="9454" max="9454" width="13.7109375" style="1" customWidth="1"/>
    <col min="9455" max="9455" width="62.42578125" style="1" customWidth="1"/>
    <col min="9456" max="9456" width="6" style="1" customWidth="1"/>
    <col min="9457" max="9457" width="9.5703125" style="1" customWidth="1"/>
    <col min="9458" max="9458" width="15.140625" style="1" customWidth="1"/>
    <col min="9459" max="9459" width="16.85546875" style="1" customWidth="1"/>
    <col min="9460" max="9460" width="12" style="1" customWidth="1"/>
    <col min="9461" max="9461" width="3.85546875" style="1" customWidth="1"/>
    <col min="9462" max="9462" width="8.85546875" style="1" customWidth="1"/>
    <col min="9463" max="9463" width="11.5703125" style="1" bestFit="1" customWidth="1"/>
    <col min="9464" max="9464" width="16.42578125" style="1" bestFit="1" customWidth="1"/>
    <col min="9465" max="9465" width="8.5703125" style="1" bestFit="1" customWidth="1"/>
    <col min="9466" max="9466" width="17.42578125" style="1" customWidth="1"/>
    <col min="9467" max="9708" width="9.140625" style="1"/>
    <col min="9709" max="9709" width="2.5703125" style="1" customWidth="1"/>
    <col min="9710" max="9710" width="13.7109375" style="1" customWidth="1"/>
    <col min="9711" max="9711" width="62.42578125" style="1" customWidth="1"/>
    <col min="9712" max="9712" width="6" style="1" customWidth="1"/>
    <col min="9713" max="9713" width="9.5703125" style="1" customWidth="1"/>
    <col min="9714" max="9714" width="15.140625" style="1" customWidth="1"/>
    <col min="9715" max="9715" width="16.85546875" style="1" customWidth="1"/>
    <col min="9716" max="9716" width="12" style="1" customWidth="1"/>
    <col min="9717" max="9717" width="3.85546875" style="1" customWidth="1"/>
    <col min="9718" max="9718" width="8.85546875" style="1" customWidth="1"/>
    <col min="9719" max="9719" width="11.5703125" style="1" bestFit="1" customWidth="1"/>
    <col min="9720" max="9720" width="16.42578125" style="1" bestFit="1" customWidth="1"/>
    <col min="9721" max="9721" width="8.5703125" style="1" bestFit="1" customWidth="1"/>
    <col min="9722" max="9722" width="17.42578125" style="1" customWidth="1"/>
    <col min="9723" max="9964" width="9.140625" style="1"/>
    <col min="9965" max="9965" width="2.5703125" style="1" customWidth="1"/>
    <col min="9966" max="9966" width="13.7109375" style="1" customWidth="1"/>
    <col min="9967" max="9967" width="62.42578125" style="1" customWidth="1"/>
    <col min="9968" max="9968" width="6" style="1" customWidth="1"/>
    <col min="9969" max="9969" width="9.5703125" style="1" customWidth="1"/>
    <col min="9970" max="9970" width="15.140625" style="1" customWidth="1"/>
    <col min="9971" max="9971" width="16.85546875" style="1" customWidth="1"/>
    <col min="9972" max="9972" width="12" style="1" customWidth="1"/>
    <col min="9973" max="9973" width="3.85546875" style="1" customWidth="1"/>
    <col min="9974" max="9974" width="8.85546875" style="1" customWidth="1"/>
    <col min="9975" max="9975" width="11.5703125" style="1" bestFit="1" customWidth="1"/>
    <col min="9976" max="9976" width="16.42578125" style="1" bestFit="1" customWidth="1"/>
    <col min="9977" max="9977" width="8.5703125" style="1" bestFit="1" customWidth="1"/>
    <col min="9978" max="9978" width="17.42578125" style="1" customWidth="1"/>
    <col min="9979" max="10220" width="9.140625" style="1"/>
    <col min="10221" max="10221" width="2.5703125" style="1" customWidth="1"/>
    <col min="10222" max="10222" width="13.7109375" style="1" customWidth="1"/>
    <col min="10223" max="10223" width="62.42578125" style="1" customWidth="1"/>
    <col min="10224" max="10224" width="6" style="1" customWidth="1"/>
    <col min="10225" max="10225" width="9.5703125" style="1" customWidth="1"/>
    <col min="10226" max="10226" width="15.140625" style="1" customWidth="1"/>
    <col min="10227" max="10227" width="16.85546875" style="1" customWidth="1"/>
    <col min="10228" max="10228" width="12" style="1" customWidth="1"/>
    <col min="10229" max="10229" width="3.85546875" style="1" customWidth="1"/>
    <col min="10230" max="10230" width="8.85546875" style="1" customWidth="1"/>
    <col min="10231" max="10231" width="11.5703125" style="1" bestFit="1" customWidth="1"/>
    <col min="10232" max="10232" width="16.42578125" style="1" bestFit="1" customWidth="1"/>
    <col min="10233" max="10233" width="8.5703125" style="1" bestFit="1" customWidth="1"/>
    <col min="10234" max="10234" width="17.42578125" style="1" customWidth="1"/>
    <col min="10235" max="10476" width="9.140625" style="1"/>
    <col min="10477" max="10477" width="2.5703125" style="1" customWidth="1"/>
    <col min="10478" max="10478" width="13.7109375" style="1" customWidth="1"/>
    <col min="10479" max="10479" width="62.42578125" style="1" customWidth="1"/>
    <col min="10480" max="10480" width="6" style="1" customWidth="1"/>
    <col min="10481" max="10481" width="9.5703125" style="1" customWidth="1"/>
    <col min="10482" max="10482" width="15.140625" style="1" customWidth="1"/>
    <col min="10483" max="10483" width="16.85546875" style="1" customWidth="1"/>
    <col min="10484" max="10484" width="12" style="1" customWidth="1"/>
    <col min="10485" max="10485" width="3.85546875" style="1" customWidth="1"/>
    <col min="10486" max="10486" width="8.85546875" style="1" customWidth="1"/>
    <col min="10487" max="10487" width="11.5703125" style="1" bestFit="1" customWidth="1"/>
    <col min="10488" max="10488" width="16.42578125" style="1" bestFit="1" customWidth="1"/>
    <col min="10489" max="10489" width="8.5703125" style="1" bestFit="1" customWidth="1"/>
    <col min="10490" max="10490" width="17.42578125" style="1" customWidth="1"/>
    <col min="10491" max="10732" width="9.140625" style="1"/>
    <col min="10733" max="10733" width="2.5703125" style="1" customWidth="1"/>
    <col min="10734" max="10734" width="13.7109375" style="1" customWidth="1"/>
    <col min="10735" max="10735" width="62.42578125" style="1" customWidth="1"/>
    <col min="10736" max="10736" width="6" style="1" customWidth="1"/>
    <col min="10737" max="10737" width="9.5703125" style="1" customWidth="1"/>
    <col min="10738" max="10738" width="15.140625" style="1" customWidth="1"/>
    <col min="10739" max="10739" width="16.85546875" style="1" customWidth="1"/>
    <col min="10740" max="10740" width="12" style="1" customWidth="1"/>
    <col min="10741" max="10741" width="3.85546875" style="1" customWidth="1"/>
    <col min="10742" max="10742" width="8.85546875" style="1" customWidth="1"/>
    <col min="10743" max="10743" width="11.5703125" style="1" bestFit="1" customWidth="1"/>
    <col min="10744" max="10744" width="16.42578125" style="1" bestFit="1" customWidth="1"/>
    <col min="10745" max="10745" width="8.5703125" style="1" bestFit="1" customWidth="1"/>
    <col min="10746" max="10746" width="17.42578125" style="1" customWidth="1"/>
    <col min="10747" max="10988" width="9.140625" style="1"/>
    <col min="10989" max="10989" width="2.5703125" style="1" customWidth="1"/>
    <col min="10990" max="10990" width="13.7109375" style="1" customWidth="1"/>
    <col min="10991" max="10991" width="62.42578125" style="1" customWidth="1"/>
    <col min="10992" max="10992" width="6" style="1" customWidth="1"/>
    <col min="10993" max="10993" width="9.5703125" style="1" customWidth="1"/>
    <col min="10994" max="10994" width="15.140625" style="1" customWidth="1"/>
    <col min="10995" max="10995" width="16.85546875" style="1" customWidth="1"/>
    <col min="10996" max="10996" width="12" style="1" customWidth="1"/>
    <col min="10997" max="10997" width="3.85546875" style="1" customWidth="1"/>
    <col min="10998" max="10998" width="8.85546875" style="1" customWidth="1"/>
    <col min="10999" max="10999" width="11.5703125" style="1" bestFit="1" customWidth="1"/>
    <col min="11000" max="11000" width="16.42578125" style="1" bestFit="1" customWidth="1"/>
    <col min="11001" max="11001" width="8.5703125" style="1" bestFit="1" customWidth="1"/>
    <col min="11002" max="11002" width="17.42578125" style="1" customWidth="1"/>
    <col min="11003" max="11244" width="9.140625" style="1"/>
    <col min="11245" max="11245" width="2.5703125" style="1" customWidth="1"/>
    <col min="11246" max="11246" width="13.7109375" style="1" customWidth="1"/>
    <col min="11247" max="11247" width="62.42578125" style="1" customWidth="1"/>
    <col min="11248" max="11248" width="6" style="1" customWidth="1"/>
    <col min="11249" max="11249" width="9.5703125" style="1" customWidth="1"/>
    <col min="11250" max="11250" width="15.140625" style="1" customWidth="1"/>
    <col min="11251" max="11251" width="16.85546875" style="1" customWidth="1"/>
    <col min="11252" max="11252" width="12" style="1" customWidth="1"/>
    <col min="11253" max="11253" width="3.85546875" style="1" customWidth="1"/>
    <col min="11254" max="11254" width="8.85546875" style="1" customWidth="1"/>
    <col min="11255" max="11255" width="11.5703125" style="1" bestFit="1" customWidth="1"/>
    <col min="11256" max="11256" width="16.42578125" style="1" bestFit="1" customWidth="1"/>
    <col min="11257" max="11257" width="8.5703125" style="1" bestFit="1" customWidth="1"/>
    <col min="11258" max="11258" width="17.42578125" style="1" customWidth="1"/>
    <col min="11259" max="11500" width="9.140625" style="1"/>
    <col min="11501" max="11501" width="2.5703125" style="1" customWidth="1"/>
    <col min="11502" max="11502" width="13.7109375" style="1" customWidth="1"/>
    <col min="11503" max="11503" width="62.42578125" style="1" customWidth="1"/>
    <col min="11504" max="11504" width="6" style="1" customWidth="1"/>
    <col min="11505" max="11505" width="9.5703125" style="1" customWidth="1"/>
    <col min="11506" max="11506" width="15.140625" style="1" customWidth="1"/>
    <col min="11507" max="11507" width="16.85546875" style="1" customWidth="1"/>
    <col min="11508" max="11508" width="12" style="1" customWidth="1"/>
    <col min="11509" max="11509" width="3.85546875" style="1" customWidth="1"/>
    <col min="11510" max="11510" width="8.85546875" style="1" customWidth="1"/>
    <col min="11511" max="11511" width="11.5703125" style="1" bestFit="1" customWidth="1"/>
    <col min="11512" max="11512" width="16.42578125" style="1" bestFit="1" customWidth="1"/>
    <col min="11513" max="11513" width="8.5703125" style="1" bestFit="1" customWidth="1"/>
    <col min="11514" max="11514" width="17.42578125" style="1" customWidth="1"/>
    <col min="11515" max="11756" width="9.140625" style="1"/>
    <col min="11757" max="11757" width="2.5703125" style="1" customWidth="1"/>
    <col min="11758" max="11758" width="13.7109375" style="1" customWidth="1"/>
    <col min="11759" max="11759" width="62.42578125" style="1" customWidth="1"/>
    <col min="11760" max="11760" width="6" style="1" customWidth="1"/>
    <col min="11761" max="11761" width="9.5703125" style="1" customWidth="1"/>
    <col min="11762" max="11762" width="15.140625" style="1" customWidth="1"/>
    <col min="11763" max="11763" width="16.85546875" style="1" customWidth="1"/>
    <col min="11764" max="11764" width="12" style="1" customWidth="1"/>
    <col min="11765" max="11765" width="3.85546875" style="1" customWidth="1"/>
    <col min="11766" max="11766" width="8.85546875" style="1" customWidth="1"/>
    <col min="11767" max="11767" width="11.5703125" style="1" bestFit="1" customWidth="1"/>
    <col min="11768" max="11768" width="16.42578125" style="1" bestFit="1" customWidth="1"/>
    <col min="11769" max="11769" width="8.5703125" style="1" bestFit="1" customWidth="1"/>
    <col min="11770" max="11770" width="17.42578125" style="1" customWidth="1"/>
    <col min="11771" max="12012" width="9.140625" style="1"/>
    <col min="12013" max="12013" width="2.5703125" style="1" customWidth="1"/>
    <col min="12014" max="12014" width="13.7109375" style="1" customWidth="1"/>
    <col min="12015" max="12015" width="62.42578125" style="1" customWidth="1"/>
    <col min="12016" max="12016" width="6" style="1" customWidth="1"/>
    <col min="12017" max="12017" width="9.5703125" style="1" customWidth="1"/>
    <col min="12018" max="12018" width="15.140625" style="1" customWidth="1"/>
    <col min="12019" max="12019" width="16.85546875" style="1" customWidth="1"/>
    <col min="12020" max="12020" width="12" style="1" customWidth="1"/>
    <col min="12021" max="12021" width="3.85546875" style="1" customWidth="1"/>
    <col min="12022" max="12022" width="8.85546875" style="1" customWidth="1"/>
    <col min="12023" max="12023" width="11.5703125" style="1" bestFit="1" customWidth="1"/>
    <col min="12024" max="12024" width="16.42578125" style="1" bestFit="1" customWidth="1"/>
    <col min="12025" max="12025" width="8.5703125" style="1" bestFit="1" customWidth="1"/>
    <col min="12026" max="12026" width="17.42578125" style="1" customWidth="1"/>
    <col min="12027" max="12268" width="9.140625" style="1"/>
    <col min="12269" max="12269" width="2.5703125" style="1" customWidth="1"/>
    <col min="12270" max="12270" width="13.7109375" style="1" customWidth="1"/>
    <col min="12271" max="12271" width="62.42578125" style="1" customWidth="1"/>
    <col min="12272" max="12272" width="6" style="1" customWidth="1"/>
    <col min="12273" max="12273" width="9.5703125" style="1" customWidth="1"/>
    <col min="12274" max="12274" width="15.140625" style="1" customWidth="1"/>
    <col min="12275" max="12275" width="16.85546875" style="1" customWidth="1"/>
    <col min="12276" max="12276" width="12" style="1" customWidth="1"/>
    <col min="12277" max="12277" width="3.85546875" style="1" customWidth="1"/>
    <col min="12278" max="12278" width="8.85546875" style="1" customWidth="1"/>
    <col min="12279" max="12279" width="11.5703125" style="1" bestFit="1" customWidth="1"/>
    <col min="12280" max="12280" width="16.42578125" style="1" bestFit="1" customWidth="1"/>
    <col min="12281" max="12281" width="8.5703125" style="1" bestFit="1" customWidth="1"/>
    <col min="12282" max="12282" width="17.42578125" style="1" customWidth="1"/>
    <col min="12283" max="12524" width="9.140625" style="1"/>
    <col min="12525" max="12525" width="2.5703125" style="1" customWidth="1"/>
    <col min="12526" max="12526" width="13.7109375" style="1" customWidth="1"/>
    <col min="12527" max="12527" width="62.42578125" style="1" customWidth="1"/>
    <col min="12528" max="12528" width="6" style="1" customWidth="1"/>
    <col min="12529" max="12529" width="9.5703125" style="1" customWidth="1"/>
    <col min="12530" max="12530" width="15.140625" style="1" customWidth="1"/>
    <col min="12531" max="12531" width="16.85546875" style="1" customWidth="1"/>
    <col min="12532" max="12532" width="12" style="1" customWidth="1"/>
    <col min="12533" max="12533" width="3.85546875" style="1" customWidth="1"/>
    <col min="12534" max="12534" width="8.85546875" style="1" customWidth="1"/>
    <col min="12535" max="12535" width="11.5703125" style="1" bestFit="1" customWidth="1"/>
    <col min="12536" max="12536" width="16.42578125" style="1" bestFit="1" customWidth="1"/>
    <col min="12537" max="12537" width="8.5703125" style="1" bestFit="1" customWidth="1"/>
    <col min="12538" max="12538" width="17.42578125" style="1" customWidth="1"/>
    <col min="12539" max="12780" width="9.140625" style="1"/>
    <col min="12781" max="12781" width="2.5703125" style="1" customWidth="1"/>
    <col min="12782" max="12782" width="13.7109375" style="1" customWidth="1"/>
    <col min="12783" max="12783" width="62.42578125" style="1" customWidth="1"/>
    <col min="12784" max="12784" width="6" style="1" customWidth="1"/>
    <col min="12785" max="12785" width="9.5703125" style="1" customWidth="1"/>
    <col min="12786" max="12786" width="15.140625" style="1" customWidth="1"/>
    <col min="12787" max="12787" width="16.85546875" style="1" customWidth="1"/>
    <col min="12788" max="12788" width="12" style="1" customWidth="1"/>
    <col min="12789" max="12789" width="3.85546875" style="1" customWidth="1"/>
    <col min="12790" max="12790" width="8.85546875" style="1" customWidth="1"/>
    <col min="12791" max="12791" width="11.5703125" style="1" bestFit="1" customWidth="1"/>
    <col min="12792" max="12792" width="16.42578125" style="1" bestFit="1" customWidth="1"/>
    <col min="12793" max="12793" width="8.5703125" style="1" bestFit="1" customWidth="1"/>
    <col min="12794" max="12794" width="17.42578125" style="1" customWidth="1"/>
    <col min="12795" max="13036" width="9.140625" style="1"/>
    <col min="13037" max="13037" width="2.5703125" style="1" customWidth="1"/>
    <col min="13038" max="13038" width="13.7109375" style="1" customWidth="1"/>
    <col min="13039" max="13039" width="62.42578125" style="1" customWidth="1"/>
    <col min="13040" max="13040" width="6" style="1" customWidth="1"/>
    <col min="13041" max="13041" width="9.5703125" style="1" customWidth="1"/>
    <col min="13042" max="13042" width="15.140625" style="1" customWidth="1"/>
    <col min="13043" max="13043" width="16.85546875" style="1" customWidth="1"/>
    <col min="13044" max="13044" width="12" style="1" customWidth="1"/>
    <col min="13045" max="13045" width="3.85546875" style="1" customWidth="1"/>
    <col min="13046" max="13046" width="8.85546875" style="1" customWidth="1"/>
    <col min="13047" max="13047" width="11.5703125" style="1" bestFit="1" customWidth="1"/>
    <col min="13048" max="13048" width="16.42578125" style="1" bestFit="1" customWidth="1"/>
    <col min="13049" max="13049" width="8.5703125" style="1" bestFit="1" customWidth="1"/>
    <col min="13050" max="13050" width="17.42578125" style="1" customWidth="1"/>
    <col min="13051" max="13292" width="9.140625" style="1"/>
    <col min="13293" max="13293" width="2.5703125" style="1" customWidth="1"/>
    <col min="13294" max="13294" width="13.7109375" style="1" customWidth="1"/>
    <col min="13295" max="13295" width="62.42578125" style="1" customWidth="1"/>
    <col min="13296" max="13296" width="6" style="1" customWidth="1"/>
    <col min="13297" max="13297" width="9.5703125" style="1" customWidth="1"/>
    <col min="13298" max="13298" width="15.140625" style="1" customWidth="1"/>
    <col min="13299" max="13299" width="16.85546875" style="1" customWidth="1"/>
    <col min="13300" max="13300" width="12" style="1" customWidth="1"/>
    <col min="13301" max="13301" width="3.85546875" style="1" customWidth="1"/>
    <col min="13302" max="13302" width="8.85546875" style="1" customWidth="1"/>
    <col min="13303" max="13303" width="11.5703125" style="1" bestFit="1" customWidth="1"/>
    <col min="13304" max="13304" width="16.42578125" style="1" bestFit="1" customWidth="1"/>
    <col min="13305" max="13305" width="8.5703125" style="1" bestFit="1" customWidth="1"/>
    <col min="13306" max="13306" width="17.42578125" style="1" customWidth="1"/>
    <col min="13307" max="13548" width="9.140625" style="1"/>
    <col min="13549" max="13549" width="2.5703125" style="1" customWidth="1"/>
    <col min="13550" max="13550" width="13.7109375" style="1" customWidth="1"/>
    <col min="13551" max="13551" width="62.42578125" style="1" customWidth="1"/>
    <col min="13552" max="13552" width="6" style="1" customWidth="1"/>
    <col min="13553" max="13553" width="9.5703125" style="1" customWidth="1"/>
    <col min="13554" max="13554" width="15.140625" style="1" customWidth="1"/>
    <col min="13555" max="13555" width="16.85546875" style="1" customWidth="1"/>
    <col min="13556" max="13556" width="12" style="1" customWidth="1"/>
    <col min="13557" max="13557" width="3.85546875" style="1" customWidth="1"/>
    <col min="13558" max="13558" width="8.85546875" style="1" customWidth="1"/>
    <col min="13559" max="13559" width="11.5703125" style="1" bestFit="1" customWidth="1"/>
    <col min="13560" max="13560" width="16.42578125" style="1" bestFit="1" customWidth="1"/>
    <col min="13561" max="13561" width="8.5703125" style="1" bestFit="1" customWidth="1"/>
    <col min="13562" max="13562" width="17.42578125" style="1" customWidth="1"/>
    <col min="13563" max="13804" width="9.140625" style="1"/>
    <col min="13805" max="13805" width="2.5703125" style="1" customWidth="1"/>
    <col min="13806" max="13806" width="13.7109375" style="1" customWidth="1"/>
    <col min="13807" max="13807" width="62.42578125" style="1" customWidth="1"/>
    <col min="13808" max="13808" width="6" style="1" customWidth="1"/>
    <col min="13809" max="13809" width="9.5703125" style="1" customWidth="1"/>
    <col min="13810" max="13810" width="15.140625" style="1" customWidth="1"/>
    <col min="13811" max="13811" width="16.85546875" style="1" customWidth="1"/>
    <col min="13812" max="13812" width="12" style="1" customWidth="1"/>
    <col min="13813" max="13813" width="3.85546875" style="1" customWidth="1"/>
    <col min="13814" max="13814" width="8.85546875" style="1" customWidth="1"/>
    <col min="13815" max="13815" width="11.5703125" style="1" bestFit="1" customWidth="1"/>
    <col min="13816" max="13816" width="16.42578125" style="1" bestFit="1" customWidth="1"/>
    <col min="13817" max="13817" width="8.5703125" style="1" bestFit="1" customWidth="1"/>
    <col min="13818" max="13818" width="17.42578125" style="1" customWidth="1"/>
    <col min="13819" max="14060" width="9.140625" style="1"/>
    <col min="14061" max="14061" width="2.5703125" style="1" customWidth="1"/>
    <col min="14062" max="14062" width="13.7109375" style="1" customWidth="1"/>
    <col min="14063" max="14063" width="62.42578125" style="1" customWidth="1"/>
    <col min="14064" max="14064" width="6" style="1" customWidth="1"/>
    <col min="14065" max="14065" width="9.5703125" style="1" customWidth="1"/>
    <col min="14066" max="14066" width="15.140625" style="1" customWidth="1"/>
    <col min="14067" max="14067" width="16.85546875" style="1" customWidth="1"/>
    <col min="14068" max="14068" width="12" style="1" customWidth="1"/>
    <col min="14069" max="14069" width="3.85546875" style="1" customWidth="1"/>
    <col min="14070" max="14070" width="8.85546875" style="1" customWidth="1"/>
    <col min="14071" max="14071" width="11.5703125" style="1" bestFit="1" customWidth="1"/>
    <col min="14072" max="14072" width="16.42578125" style="1" bestFit="1" customWidth="1"/>
    <col min="14073" max="14073" width="8.5703125" style="1" bestFit="1" customWidth="1"/>
    <col min="14074" max="14074" width="17.42578125" style="1" customWidth="1"/>
    <col min="14075" max="14316" width="9.140625" style="1"/>
    <col min="14317" max="14317" width="2.5703125" style="1" customWidth="1"/>
    <col min="14318" max="14318" width="13.7109375" style="1" customWidth="1"/>
    <col min="14319" max="14319" width="62.42578125" style="1" customWidth="1"/>
    <col min="14320" max="14320" width="6" style="1" customWidth="1"/>
    <col min="14321" max="14321" width="9.5703125" style="1" customWidth="1"/>
    <col min="14322" max="14322" width="15.140625" style="1" customWidth="1"/>
    <col min="14323" max="14323" width="16.85546875" style="1" customWidth="1"/>
    <col min="14324" max="14324" width="12" style="1" customWidth="1"/>
    <col min="14325" max="14325" width="3.85546875" style="1" customWidth="1"/>
    <col min="14326" max="14326" width="8.85546875" style="1" customWidth="1"/>
    <col min="14327" max="14327" width="11.5703125" style="1" bestFit="1" customWidth="1"/>
    <col min="14328" max="14328" width="16.42578125" style="1" bestFit="1" customWidth="1"/>
    <col min="14329" max="14329" width="8.5703125" style="1" bestFit="1" customWidth="1"/>
    <col min="14330" max="14330" width="17.42578125" style="1" customWidth="1"/>
    <col min="14331" max="14572" width="9.140625" style="1"/>
    <col min="14573" max="14573" width="2.5703125" style="1" customWidth="1"/>
    <col min="14574" max="14574" width="13.7109375" style="1" customWidth="1"/>
    <col min="14575" max="14575" width="62.42578125" style="1" customWidth="1"/>
    <col min="14576" max="14576" width="6" style="1" customWidth="1"/>
    <col min="14577" max="14577" width="9.5703125" style="1" customWidth="1"/>
    <col min="14578" max="14578" width="15.140625" style="1" customWidth="1"/>
    <col min="14579" max="14579" width="16.85546875" style="1" customWidth="1"/>
    <col min="14580" max="14580" width="12" style="1" customWidth="1"/>
    <col min="14581" max="14581" width="3.85546875" style="1" customWidth="1"/>
    <col min="14582" max="14582" width="8.85546875" style="1" customWidth="1"/>
    <col min="14583" max="14583" width="11.5703125" style="1" bestFit="1" customWidth="1"/>
    <col min="14584" max="14584" width="16.42578125" style="1" bestFit="1" customWidth="1"/>
    <col min="14585" max="14585" width="8.5703125" style="1" bestFit="1" customWidth="1"/>
    <col min="14586" max="14586" width="17.42578125" style="1" customWidth="1"/>
    <col min="14587" max="14828" width="9.140625" style="1"/>
    <col min="14829" max="14829" width="2.5703125" style="1" customWidth="1"/>
    <col min="14830" max="14830" width="13.7109375" style="1" customWidth="1"/>
    <col min="14831" max="14831" width="62.42578125" style="1" customWidth="1"/>
    <col min="14832" max="14832" width="6" style="1" customWidth="1"/>
    <col min="14833" max="14833" width="9.5703125" style="1" customWidth="1"/>
    <col min="14834" max="14834" width="15.140625" style="1" customWidth="1"/>
    <col min="14835" max="14835" width="16.85546875" style="1" customWidth="1"/>
    <col min="14836" max="14836" width="12" style="1" customWidth="1"/>
    <col min="14837" max="14837" width="3.85546875" style="1" customWidth="1"/>
    <col min="14838" max="14838" width="8.85546875" style="1" customWidth="1"/>
    <col min="14839" max="14839" width="11.5703125" style="1" bestFit="1" customWidth="1"/>
    <col min="14840" max="14840" width="16.42578125" style="1" bestFit="1" customWidth="1"/>
    <col min="14841" max="14841" width="8.5703125" style="1" bestFit="1" customWidth="1"/>
    <col min="14842" max="14842" width="17.42578125" style="1" customWidth="1"/>
    <col min="14843" max="15084" width="9.140625" style="1"/>
    <col min="15085" max="15085" width="2.5703125" style="1" customWidth="1"/>
    <col min="15086" max="15086" width="13.7109375" style="1" customWidth="1"/>
    <col min="15087" max="15087" width="62.42578125" style="1" customWidth="1"/>
    <col min="15088" max="15088" width="6" style="1" customWidth="1"/>
    <col min="15089" max="15089" width="9.5703125" style="1" customWidth="1"/>
    <col min="15090" max="15090" width="15.140625" style="1" customWidth="1"/>
    <col min="15091" max="15091" width="16.85546875" style="1" customWidth="1"/>
    <col min="15092" max="15092" width="12" style="1" customWidth="1"/>
    <col min="15093" max="15093" width="3.85546875" style="1" customWidth="1"/>
    <col min="15094" max="15094" width="8.85546875" style="1" customWidth="1"/>
    <col min="15095" max="15095" width="11.5703125" style="1" bestFit="1" customWidth="1"/>
    <col min="15096" max="15096" width="16.42578125" style="1" bestFit="1" customWidth="1"/>
    <col min="15097" max="15097" width="8.5703125" style="1" bestFit="1" customWidth="1"/>
    <col min="15098" max="15098" width="17.42578125" style="1" customWidth="1"/>
    <col min="15099" max="15340" width="9.140625" style="1"/>
    <col min="15341" max="15341" width="2.5703125" style="1" customWidth="1"/>
    <col min="15342" max="15342" width="13.7109375" style="1" customWidth="1"/>
    <col min="15343" max="15343" width="62.42578125" style="1" customWidth="1"/>
    <col min="15344" max="15344" width="6" style="1" customWidth="1"/>
    <col min="15345" max="15345" width="9.5703125" style="1" customWidth="1"/>
    <col min="15346" max="15346" width="15.140625" style="1" customWidth="1"/>
    <col min="15347" max="15347" width="16.85546875" style="1" customWidth="1"/>
    <col min="15348" max="15348" width="12" style="1" customWidth="1"/>
    <col min="15349" max="15349" width="3.85546875" style="1" customWidth="1"/>
    <col min="15350" max="15350" width="8.85546875" style="1" customWidth="1"/>
    <col min="15351" max="15351" width="11.5703125" style="1" bestFit="1" customWidth="1"/>
    <col min="15352" max="15352" width="16.42578125" style="1" bestFit="1" customWidth="1"/>
    <col min="15353" max="15353" width="8.5703125" style="1" bestFit="1" customWidth="1"/>
    <col min="15354" max="15354" width="17.42578125" style="1" customWidth="1"/>
    <col min="15355" max="15596" width="9.140625" style="1"/>
    <col min="15597" max="15597" width="2.5703125" style="1" customWidth="1"/>
    <col min="15598" max="15598" width="13.7109375" style="1" customWidth="1"/>
    <col min="15599" max="15599" width="62.42578125" style="1" customWidth="1"/>
    <col min="15600" max="15600" width="6" style="1" customWidth="1"/>
    <col min="15601" max="15601" width="9.5703125" style="1" customWidth="1"/>
    <col min="15602" max="15602" width="15.140625" style="1" customWidth="1"/>
    <col min="15603" max="15603" width="16.85546875" style="1" customWidth="1"/>
    <col min="15604" max="15604" width="12" style="1" customWidth="1"/>
    <col min="15605" max="15605" width="3.85546875" style="1" customWidth="1"/>
    <col min="15606" max="15606" width="8.85546875" style="1" customWidth="1"/>
    <col min="15607" max="15607" width="11.5703125" style="1" bestFit="1" customWidth="1"/>
    <col min="15608" max="15608" width="16.42578125" style="1" bestFit="1" customWidth="1"/>
    <col min="15609" max="15609" width="8.5703125" style="1" bestFit="1" customWidth="1"/>
    <col min="15610" max="15610" width="17.42578125" style="1" customWidth="1"/>
    <col min="15611" max="15852" width="9.140625" style="1"/>
    <col min="15853" max="15853" width="2.5703125" style="1" customWidth="1"/>
    <col min="15854" max="15854" width="13.7109375" style="1" customWidth="1"/>
    <col min="15855" max="15855" width="62.42578125" style="1" customWidth="1"/>
    <col min="15856" max="15856" width="6" style="1" customWidth="1"/>
    <col min="15857" max="15857" width="9.5703125" style="1" customWidth="1"/>
    <col min="15858" max="15858" width="15.140625" style="1" customWidth="1"/>
    <col min="15859" max="15859" width="16.85546875" style="1" customWidth="1"/>
    <col min="15860" max="15860" width="12" style="1" customWidth="1"/>
    <col min="15861" max="15861" width="3.85546875" style="1" customWidth="1"/>
    <col min="15862" max="15862" width="8.85546875" style="1" customWidth="1"/>
    <col min="15863" max="15863" width="11.5703125" style="1" bestFit="1" customWidth="1"/>
    <col min="15864" max="15864" width="16.42578125" style="1" bestFit="1" customWidth="1"/>
    <col min="15865" max="15865" width="8.5703125" style="1" bestFit="1" customWidth="1"/>
    <col min="15866" max="15866" width="17.42578125" style="1" customWidth="1"/>
    <col min="15867" max="16108" width="9.140625" style="1"/>
    <col min="16109" max="16109" width="2.5703125" style="1" customWidth="1"/>
    <col min="16110" max="16110" width="13.7109375" style="1" customWidth="1"/>
    <col min="16111" max="16111" width="62.42578125" style="1" customWidth="1"/>
    <col min="16112" max="16112" width="6" style="1" customWidth="1"/>
    <col min="16113" max="16113" width="9.5703125" style="1" customWidth="1"/>
    <col min="16114" max="16114" width="15.140625" style="1" customWidth="1"/>
    <col min="16115" max="16115" width="16.85546875" style="1" customWidth="1"/>
    <col min="16116" max="16116" width="12" style="1" customWidth="1"/>
    <col min="16117" max="16117" width="3.85546875" style="1" customWidth="1"/>
    <col min="16118" max="16118" width="8.85546875" style="1" customWidth="1"/>
    <col min="16119" max="16119" width="11.5703125" style="1" bestFit="1" customWidth="1"/>
    <col min="16120" max="16120" width="16.42578125" style="1" bestFit="1" customWidth="1"/>
    <col min="16121" max="16121" width="8.5703125" style="1" bestFit="1" customWidth="1"/>
    <col min="16122" max="16122" width="17.42578125" style="1" customWidth="1"/>
    <col min="16123" max="16384" width="9.140625" style="1"/>
  </cols>
  <sheetData>
    <row r="1" spans="2:5" s="2" customFormat="1" ht="60.75" customHeight="1">
      <c r="B1" s="178"/>
      <c r="C1" s="178"/>
      <c r="D1" s="178"/>
      <c r="E1" s="178"/>
    </row>
    <row r="2" spans="2:5" s="2" customFormat="1" ht="29.25" customHeight="1">
      <c r="B2" s="179" t="s">
        <v>0</v>
      </c>
      <c r="C2" s="180"/>
      <c r="D2" s="180"/>
      <c r="E2" s="180"/>
    </row>
    <row r="3" spans="2:5" s="5" customFormat="1" ht="6" customHeight="1">
      <c r="B3" s="181"/>
      <c r="C3" s="182"/>
      <c r="D3" s="182"/>
      <c r="E3" s="182"/>
    </row>
    <row r="4" spans="2:5" s="5" customFormat="1" ht="21" customHeight="1">
      <c r="B4" s="183" t="s">
        <v>2641</v>
      </c>
      <c r="C4" s="183"/>
      <c r="D4" s="183"/>
      <c r="E4" s="183"/>
    </row>
    <row r="5" spans="2:5" s="5" customFormat="1" ht="18.75" customHeight="1">
      <c r="B5" s="151" t="s">
        <v>2</v>
      </c>
      <c r="C5" s="184" t="s">
        <v>3</v>
      </c>
      <c r="D5" s="185"/>
      <c r="E5" s="185"/>
    </row>
    <row r="6" spans="2:5" s="5" customFormat="1" ht="18.75" customHeight="1">
      <c r="B6" s="151" t="s">
        <v>4</v>
      </c>
      <c r="C6" s="184" t="s">
        <v>5</v>
      </c>
      <c r="D6" s="186"/>
      <c r="E6" s="186"/>
    </row>
    <row r="7" spans="2:5" s="5" customFormat="1" ht="18" customHeight="1">
      <c r="B7" s="35"/>
      <c r="C7" s="35"/>
      <c r="D7" s="34"/>
      <c r="E7" s="34"/>
    </row>
    <row r="8" spans="2:5" s="3" customFormat="1" ht="30" customHeight="1">
      <c r="B8" s="39" t="s">
        <v>6</v>
      </c>
      <c r="C8" s="40" t="s">
        <v>7</v>
      </c>
      <c r="D8" s="40"/>
      <c r="E8" s="40" t="s">
        <v>8</v>
      </c>
    </row>
    <row r="9" spans="2:5" s="3" customFormat="1" ht="12">
      <c r="B9" s="6"/>
      <c r="C9" s="7"/>
      <c r="E9" s="4"/>
    </row>
    <row r="10" spans="2:5" s="9" customFormat="1" ht="16.5" customHeight="1">
      <c r="B10" s="43" t="s">
        <v>9</v>
      </c>
      <c r="C10" s="45" t="s">
        <v>10</v>
      </c>
      <c r="D10" s="44"/>
      <c r="E10" s="64">
        <f>'LPU detalhado'!G18</f>
        <v>0</v>
      </c>
    </row>
    <row r="11" spans="2:5" s="14" customFormat="1" ht="12">
      <c r="B11" s="42"/>
      <c r="C11" s="7"/>
      <c r="D11" s="12"/>
      <c r="E11" s="37"/>
    </row>
    <row r="12" spans="2:5" s="14" customFormat="1" ht="12">
      <c r="B12" s="43" t="s">
        <v>11</v>
      </c>
      <c r="C12" s="45" t="s">
        <v>55</v>
      </c>
      <c r="D12" s="44"/>
      <c r="E12" s="64">
        <f>'LPU detalhado'!G32</f>
        <v>0</v>
      </c>
    </row>
    <row r="13" spans="2:5" s="14" customFormat="1" ht="12">
      <c r="B13" s="10"/>
      <c r="C13" s="10"/>
      <c r="D13" s="12"/>
      <c r="E13" s="37"/>
    </row>
    <row r="14" spans="2:5" s="14" customFormat="1" ht="16.5" customHeight="1">
      <c r="B14" s="43" t="s">
        <v>13</v>
      </c>
      <c r="C14" s="45" t="s">
        <v>12</v>
      </c>
      <c r="D14" s="44"/>
      <c r="E14" s="64">
        <f>'LPU detalhado'!G126+'LPU detalhado'!G210+'LPU detalhado'!G299+'LPU detalhado'!G382+'LPU detalhado'!G466+'LPU detalhado'!G547+'LPU detalhado'!G637+'LPU detalhado'!G727+'LPU detalhado'!G816+'LPU detalhado'!G898+'LPU detalhado'!G981+'LPU detalhado'!G1062+'LPU detalhado'!G1144+'LPU detalhado'!G1224+'LPU detalhado'!G1304+'LPU detalhado'!G1386+'LPU detalhado'!G1468+'LPU detalhado'!G1556+'LPU detalhado'!G1646+'LPU detalhado'!G1735+'LPU detalhado'!G1877+'LPU detalhado'!G1942+'LPU detalhado'!G2006+'LPU detalhado'!G2070+'LPU detalhado'!G2134+'LPU detalhado'!G2198+'LPU detalhado'!G2264+'LPU detalhado'!G2329+'LPU detalhado'!G2393+'LPU detalhado'!G2450</f>
        <v>0</v>
      </c>
    </row>
    <row r="15" spans="2:5" s="38" customFormat="1" ht="12">
      <c r="B15" s="10"/>
      <c r="C15" s="10"/>
      <c r="D15" s="12"/>
      <c r="E15" s="37"/>
    </row>
    <row r="16" spans="2:5" s="38" customFormat="1" ht="16.5" customHeight="1">
      <c r="B16" s="43" t="s">
        <v>2668</v>
      </c>
      <c r="C16" s="63" t="s">
        <v>2640</v>
      </c>
      <c r="D16" s="44"/>
      <c r="E16" s="64">
        <f>'LPU detalhado'!G2571+'LPU detalhado'!G2690+'LPU detalhado'!G2808</f>
        <v>0</v>
      </c>
    </row>
    <row r="17" spans="2:5" s="9" customFormat="1" ht="12">
      <c r="B17" s="108"/>
      <c r="C17" s="10"/>
      <c r="D17" s="12"/>
      <c r="E17" s="37"/>
    </row>
    <row r="18" spans="2:5" s="9" customFormat="1" ht="18.75" customHeight="1">
      <c r="B18" s="74"/>
      <c r="C18" s="75" t="s">
        <v>14</v>
      </c>
      <c r="D18" s="176">
        <f>SUM(E10:E16)</f>
        <v>0</v>
      </c>
      <c r="E18" s="177"/>
    </row>
    <row r="19" spans="2:5" s="16" customFormat="1" ht="9.75" customHeight="1">
      <c r="B19" s="17"/>
      <c r="C19" s="173"/>
      <c r="D19" s="174"/>
      <c r="E19" s="174"/>
    </row>
    <row r="20" spans="2:5" s="16" customFormat="1">
      <c r="B20" s="18"/>
      <c r="C20" s="19"/>
      <c r="D20" s="12"/>
      <c r="E20" s="20"/>
    </row>
    <row r="21" spans="2:5" s="3" customFormat="1" ht="15">
      <c r="B21" s="21"/>
      <c r="C21" s="78"/>
      <c r="D21" s="79"/>
      <c r="E21" s="79"/>
    </row>
    <row r="22" spans="2:5" s="3" customFormat="1" ht="15">
      <c r="B22" s="21"/>
      <c r="C22" s="76"/>
      <c r="D22" s="79"/>
      <c r="E22" s="79"/>
    </row>
    <row r="23" spans="2:5" s="25" customFormat="1" ht="12">
      <c r="B23" s="26"/>
      <c r="C23" s="27"/>
      <c r="D23" s="23"/>
      <c r="E23" s="4"/>
    </row>
    <row r="24" spans="2:5" s="28" customFormat="1">
      <c r="B24" s="29"/>
      <c r="C24" s="175"/>
      <c r="D24" s="175"/>
      <c r="E24" s="175"/>
    </row>
    <row r="25" spans="2:5" s="3" customFormat="1" ht="12">
      <c r="B25" s="21"/>
      <c r="C25" s="22"/>
      <c r="D25" s="23"/>
      <c r="E25" s="24"/>
    </row>
    <row r="26" spans="2:5" s="3" customFormat="1" ht="12">
      <c r="B26" s="21"/>
      <c r="C26" s="22"/>
      <c r="D26" s="23"/>
      <c r="E26" s="24"/>
    </row>
    <row r="27" spans="2:5" s="3" customFormat="1" ht="12">
      <c r="B27" s="21"/>
      <c r="C27" s="22"/>
      <c r="D27" s="23"/>
      <c r="E27" s="24"/>
    </row>
    <row r="28" spans="2:5" s="3" customFormat="1" ht="12">
      <c r="B28" s="21"/>
      <c r="C28" s="22"/>
      <c r="D28" s="23"/>
      <c r="E28" s="24"/>
    </row>
    <row r="29" spans="2:5" s="3" customFormat="1" ht="12">
      <c r="B29" s="21"/>
      <c r="C29" s="22"/>
      <c r="D29" s="23"/>
      <c r="E29" s="24"/>
    </row>
    <row r="30" spans="2:5" s="3" customFormat="1" ht="12">
      <c r="B30" s="21"/>
      <c r="C30" s="22"/>
      <c r="D30" s="23"/>
      <c r="E30" s="24"/>
    </row>
    <row r="31" spans="2:5" s="3" customFormat="1" ht="12">
      <c r="B31" s="21"/>
      <c r="C31" s="22"/>
      <c r="D31" s="23"/>
      <c r="E31" s="24"/>
    </row>
    <row r="32" spans="2:5" s="3" customFormat="1" ht="12">
      <c r="B32" s="21"/>
      <c r="C32" s="22"/>
      <c r="D32" s="23"/>
      <c r="E32" s="24"/>
    </row>
    <row r="33" spans="2:5" s="3" customFormat="1" ht="12">
      <c r="B33" s="21"/>
      <c r="C33" s="22"/>
      <c r="D33" s="23"/>
      <c r="E33" s="24"/>
    </row>
    <row r="34" spans="2:5" s="3" customFormat="1" ht="12">
      <c r="B34" s="21"/>
      <c r="C34" s="22"/>
      <c r="D34" s="23"/>
      <c r="E34" s="24"/>
    </row>
    <row r="35" spans="2:5" s="3" customFormat="1" ht="12">
      <c r="B35" s="21"/>
      <c r="C35" s="22"/>
      <c r="D35" s="23"/>
      <c r="E35" s="24"/>
    </row>
    <row r="36" spans="2:5" s="3" customFormat="1" ht="12">
      <c r="B36" s="21"/>
      <c r="C36" s="22"/>
      <c r="D36" s="23"/>
      <c r="E36" s="24"/>
    </row>
    <row r="37" spans="2:5" s="3" customFormat="1" ht="12">
      <c r="B37" s="21"/>
      <c r="C37" s="22"/>
      <c r="D37" s="23"/>
      <c r="E37" s="24"/>
    </row>
    <row r="38" spans="2:5" s="3" customFormat="1" ht="12">
      <c r="B38" s="21"/>
      <c r="C38" s="22"/>
      <c r="D38" s="23"/>
      <c r="E38" s="24"/>
    </row>
    <row r="39" spans="2:5" s="3" customFormat="1" ht="12">
      <c r="B39" s="21"/>
      <c r="C39" s="22"/>
      <c r="D39" s="23"/>
      <c r="E39" s="24"/>
    </row>
    <row r="40" spans="2:5" s="3" customFormat="1" ht="12">
      <c r="B40" s="21"/>
      <c r="C40" s="22"/>
      <c r="D40" s="23"/>
      <c r="E40" s="24"/>
    </row>
    <row r="41" spans="2:5" s="3" customFormat="1" ht="12">
      <c r="B41" s="21"/>
      <c r="C41" s="22"/>
      <c r="D41" s="23"/>
      <c r="E41" s="24"/>
    </row>
    <row r="42" spans="2:5" s="3" customFormat="1" ht="12">
      <c r="B42" s="21"/>
      <c r="C42" s="22"/>
      <c r="D42" s="23"/>
      <c r="E42" s="24"/>
    </row>
    <row r="43" spans="2:5" s="3" customFormat="1" ht="12">
      <c r="B43" s="21"/>
      <c r="C43" s="22"/>
      <c r="D43" s="23"/>
      <c r="E43" s="24"/>
    </row>
    <row r="44" spans="2:5" s="3" customFormat="1" ht="12">
      <c r="B44" s="21"/>
      <c r="C44" s="22"/>
      <c r="D44" s="23"/>
      <c r="E44" s="24"/>
    </row>
    <row r="45" spans="2:5" s="3" customFormat="1" ht="12">
      <c r="B45" s="21"/>
      <c r="C45" s="22"/>
      <c r="D45" s="23"/>
      <c r="E45" s="24"/>
    </row>
    <row r="46" spans="2:5" s="3" customFormat="1" ht="12">
      <c r="B46" s="21"/>
      <c r="C46" s="22"/>
      <c r="D46" s="23"/>
      <c r="E46" s="24"/>
    </row>
    <row r="47" spans="2:5" s="3" customFormat="1" ht="12">
      <c r="B47" s="21"/>
      <c r="C47" s="22"/>
      <c r="D47" s="23"/>
      <c r="E47" s="24"/>
    </row>
    <row r="48" spans="2:5" s="3" customFormat="1" ht="12">
      <c r="B48" s="21"/>
      <c r="C48" s="22"/>
      <c r="D48" s="23"/>
      <c r="E48" s="24"/>
    </row>
    <row r="49" spans="2:5" s="3" customFormat="1" ht="12">
      <c r="B49" s="21"/>
      <c r="C49" s="22"/>
      <c r="D49" s="23"/>
      <c r="E49" s="24"/>
    </row>
    <row r="50" spans="2:5" s="3" customFormat="1" ht="12">
      <c r="B50" s="21"/>
      <c r="C50" s="22"/>
      <c r="D50" s="23"/>
      <c r="E50" s="24"/>
    </row>
    <row r="51" spans="2:5" s="3" customFormat="1" ht="12">
      <c r="B51" s="21"/>
      <c r="C51" s="22"/>
      <c r="D51" s="23"/>
      <c r="E51" s="24"/>
    </row>
    <row r="52" spans="2:5" s="3" customFormat="1" ht="12">
      <c r="B52" s="21"/>
      <c r="C52" s="22"/>
      <c r="D52" s="23"/>
      <c r="E52" s="24"/>
    </row>
    <row r="53" spans="2:5" s="3" customFormat="1" ht="12">
      <c r="B53" s="21"/>
      <c r="C53" s="22"/>
      <c r="D53" s="23"/>
      <c r="E53" s="24"/>
    </row>
    <row r="54" spans="2:5" s="3" customFormat="1" ht="12">
      <c r="B54" s="21"/>
      <c r="C54" s="22"/>
      <c r="D54" s="23"/>
      <c r="E54" s="24"/>
    </row>
    <row r="55" spans="2:5" s="3" customFormat="1" ht="12">
      <c r="B55" s="21"/>
      <c r="C55" s="22"/>
      <c r="D55" s="23"/>
      <c r="E55" s="24"/>
    </row>
    <row r="56" spans="2:5" s="3" customFormat="1" ht="12">
      <c r="B56" s="21"/>
      <c r="C56" s="22"/>
      <c r="D56" s="23"/>
      <c r="E56" s="24"/>
    </row>
    <row r="57" spans="2:5" s="3" customFormat="1" ht="12">
      <c r="B57" s="21"/>
      <c r="C57" s="22"/>
      <c r="D57" s="23"/>
      <c r="E57" s="24"/>
    </row>
    <row r="58" spans="2:5" s="3" customFormat="1" ht="12">
      <c r="B58" s="21"/>
      <c r="C58" s="10"/>
      <c r="D58" s="23"/>
      <c r="E58" s="24"/>
    </row>
    <row r="59" spans="2:5" s="3" customFormat="1" ht="12">
      <c r="B59" s="21"/>
      <c r="C59" s="22"/>
      <c r="D59" s="23"/>
      <c r="E59" s="24"/>
    </row>
    <row r="60" spans="2:5" s="3" customFormat="1" ht="12">
      <c r="B60" s="21"/>
      <c r="C60" s="22"/>
      <c r="D60" s="23"/>
      <c r="E60" s="24"/>
    </row>
    <row r="61" spans="2:5" s="3" customFormat="1" ht="12">
      <c r="B61" s="21"/>
      <c r="C61" s="22"/>
      <c r="D61" s="23"/>
      <c r="E61" s="24"/>
    </row>
    <row r="62" spans="2:5" s="3" customFormat="1" ht="12">
      <c r="B62" s="21"/>
      <c r="C62" s="22"/>
      <c r="D62" s="23"/>
      <c r="E62" s="24"/>
    </row>
    <row r="63" spans="2:5" s="3" customFormat="1" ht="12">
      <c r="B63" s="21"/>
      <c r="C63" s="22"/>
      <c r="D63" s="23"/>
      <c r="E63" s="24"/>
    </row>
    <row r="64" spans="2:5" s="3" customFormat="1" ht="12">
      <c r="B64" s="21"/>
      <c r="C64" s="22"/>
      <c r="D64" s="23"/>
      <c r="E64" s="24"/>
    </row>
    <row r="65" spans="2:5" s="3" customFormat="1" ht="12">
      <c r="B65" s="21"/>
      <c r="C65" s="22"/>
      <c r="D65" s="23"/>
      <c r="E65" s="24"/>
    </row>
    <row r="66" spans="2:5" s="3" customFormat="1" ht="12">
      <c r="B66" s="21"/>
      <c r="C66" s="22"/>
      <c r="D66" s="23"/>
      <c r="E66" s="24"/>
    </row>
    <row r="67" spans="2:5" s="3" customFormat="1" ht="12">
      <c r="B67" s="21"/>
      <c r="C67" s="22"/>
      <c r="D67" s="23"/>
      <c r="E67" s="24"/>
    </row>
    <row r="68" spans="2:5" s="3" customFormat="1" ht="12">
      <c r="B68" s="21"/>
      <c r="C68" s="22"/>
      <c r="D68" s="23"/>
      <c r="E68" s="24"/>
    </row>
    <row r="69" spans="2:5" s="3" customFormat="1" ht="12">
      <c r="B69" s="21"/>
      <c r="C69" s="22"/>
      <c r="D69" s="23"/>
      <c r="E69" s="24"/>
    </row>
    <row r="70" spans="2:5" s="3" customFormat="1" ht="12">
      <c r="B70" s="21"/>
      <c r="C70" s="22"/>
      <c r="D70" s="23"/>
      <c r="E70" s="24"/>
    </row>
    <row r="71" spans="2:5" s="3" customFormat="1" ht="12">
      <c r="B71" s="21"/>
      <c r="C71" s="22"/>
      <c r="D71" s="23"/>
      <c r="E71" s="24"/>
    </row>
    <row r="72" spans="2:5" s="3" customFormat="1" ht="12">
      <c r="B72" s="21"/>
      <c r="C72" s="22"/>
      <c r="D72" s="23"/>
      <c r="E72" s="24"/>
    </row>
    <row r="73" spans="2:5" s="3" customFormat="1" ht="12">
      <c r="B73" s="21"/>
      <c r="C73" s="22"/>
      <c r="D73" s="23"/>
      <c r="E73" s="24"/>
    </row>
    <row r="74" spans="2:5" s="3" customFormat="1" ht="12">
      <c r="B74" s="21"/>
      <c r="C74" s="22"/>
      <c r="D74" s="23"/>
      <c r="E74" s="24"/>
    </row>
    <row r="75" spans="2:5" s="3" customFormat="1" ht="12">
      <c r="B75" s="21"/>
      <c r="C75" s="22"/>
      <c r="D75" s="23"/>
      <c r="E75" s="24"/>
    </row>
    <row r="76" spans="2:5" s="3" customFormat="1" ht="12">
      <c r="B76" s="21"/>
      <c r="C76" s="22"/>
      <c r="D76" s="23"/>
      <c r="E76" s="24"/>
    </row>
    <row r="77" spans="2:5" s="3" customFormat="1" ht="12">
      <c r="B77" s="21"/>
      <c r="C77" s="22"/>
      <c r="D77" s="23"/>
      <c r="E77" s="24"/>
    </row>
    <row r="78" spans="2:5" s="3" customFormat="1" ht="12">
      <c r="B78" s="21"/>
      <c r="C78" s="22"/>
      <c r="D78" s="23"/>
      <c r="E78" s="24"/>
    </row>
    <row r="79" spans="2:5" s="3" customFormat="1" ht="12">
      <c r="B79" s="21"/>
      <c r="C79" s="22"/>
      <c r="D79" s="23"/>
      <c r="E79" s="24"/>
    </row>
    <row r="80" spans="2:5" s="3" customFormat="1" ht="12">
      <c r="B80" s="21"/>
      <c r="C80" s="22"/>
      <c r="D80" s="23"/>
      <c r="E80" s="24"/>
    </row>
    <row r="81" spans="2:5" s="3" customFormat="1" ht="12">
      <c r="B81" s="21"/>
      <c r="C81" s="22"/>
      <c r="D81" s="23"/>
      <c r="E81" s="24"/>
    </row>
    <row r="82" spans="2:5" s="3" customFormat="1" ht="12">
      <c r="B82" s="21"/>
      <c r="C82" s="22"/>
      <c r="D82" s="23"/>
      <c r="E82" s="24"/>
    </row>
    <row r="83" spans="2:5" s="3" customFormat="1" ht="12">
      <c r="B83" s="21"/>
      <c r="C83" s="22"/>
      <c r="D83" s="23"/>
      <c r="E83" s="24"/>
    </row>
    <row r="84" spans="2:5" s="3" customFormat="1" ht="12">
      <c r="B84" s="21"/>
      <c r="C84" s="22"/>
      <c r="D84" s="23"/>
      <c r="E84" s="24"/>
    </row>
  </sheetData>
  <mergeCells count="9">
    <mergeCell ref="C19:E19"/>
    <mergeCell ref="C24:E24"/>
    <mergeCell ref="D18:E18"/>
    <mergeCell ref="B1:E1"/>
    <mergeCell ref="B2:E2"/>
    <mergeCell ref="B3:E3"/>
    <mergeCell ref="B4:E4"/>
    <mergeCell ref="C5:E5"/>
    <mergeCell ref="C6:E6"/>
  </mergeCells>
  <printOptions horizontalCentered="1"/>
  <pageMargins left="0.31496062992125984" right="0.19685039370078741" top="0.47244094488188981" bottom="0.98425196850393704" header="0.23622047244094491" footer="0.43307086614173229"/>
  <pageSetup paperSize="9" scale="85" fitToHeight="0" orientation="portrait" r:id="rId1"/>
  <headerFooter alignWithMargins="0">
    <oddFooter>&amp;L&amp;9LPU - Lista de Preços unitarios; &amp;A - Aprovado a 04.04.2017.Rev.00
VECTOR MAIS - Projectos e Obras de Interiores, S.A.&amp;R&amp;9&amp;P de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indexed="10"/>
  </sheetPr>
  <dimension ref="A1:K2845"/>
  <sheetViews>
    <sheetView showZeros="0" tabSelected="1" topLeftCell="A25" zoomScale="115" zoomScaleNormal="115" zoomScaleSheetLayoutView="100" zoomScalePageLayoutView="55" workbookViewId="0">
      <selection activeCell="C2448" sqref="C2448"/>
    </sheetView>
  </sheetViews>
  <sheetFormatPr defaultRowHeight="12.75" outlineLevelRow="1"/>
  <cols>
    <col min="1" max="1" width="2.5703125" style="1" customWidth="1"/>
    <col min="2" max="2" width="9.42578125" style="73" customWidth="1"/>
    <col min="3" max="3" width="66.5703125" style="31" customWidth="1"/>
    <col min="4" max="4" width="4" style="32" bestFit="1" customWidth="1"/>
    <col min="5" max="5" width="7.28515625" style="126" bestFit="1" customWidth="1"/>
    <col min="6" max="6" width="12" style="33" bestFit="1" customWidth="1"/>
    <col min="7" max="7" width="10.5703125" style="33" customWidth="1"/>
    <col min="8" max="10" width="9.140625" style="1"/>
    <col min="11" max="11" width="106" style="96" bestFit="1" customWidth="1"/>
    <col min="12" max="148" width="9.140625" style="1"/>
    <col min="149" max="149" width="2.5703125" style="1" customWidth="1"/>
    <col min="150" max="150" width="13.7109375" style="1" customWidth="1"/>
    <col min="151" max="151" width="62.42578125" style="1" customWidth="1"/>
    <col min="152" max="152" width="6" style="1" customWidth="1"/>
    <col min="153" max="153" width="9.5703125" style="1" customWidth="1"/>
    <col min="154" max="154" width="15.140625" style="1" customWidth="1"/>
    <col min="155" max="155" width="16.85546875" style="1" customWidth="1"/>
    <col min="156" max="156" width="12" style="1" customWidth="1"/>
    <col min="157" max="157" width="3.85546875" style="1" customWidth="1"/>
    <col min="158" max="158" width="8.85546875" style="1" customWidth="1"/>
    <col min="159" max="159" width="11.5703125" style="1" bestFit="1" customWidth="1"/>
    <col min="160" max="160" width="16.42578125" style="1" bestFit="1" customWidth="1"/>
    <col min="161" max="161" width="8.5703125" style="1" bestFit="1" customWidth="1"/>
    <col min="162" max="162" width="17.42578125" style="1" customWidth="1"/>
    <col min="163" max="404" width="9.140625" style="1"/>
    <col min="405" max="405" width="2.5703125" style="1" customWidth="1"/>
    <col min="406" max="406" width="13.7109375" style="1" customWidth="1"/>
    <col min="407" max="407" width="62.42578125" style="1" customWidth="1"/>
    <col min="408" max="408" width="6" style="1" customWidth="1"/>
    <col min="409" max="409" width="9.5703125" style="1" customWidth="1"/>
    <col min="410" max="410" width="15.140625" style="1" customWidth="1"/>
    <col min="411" max="411" width="16.85546875" style="1" customWidth="1"/>
    <col min="412" max="412" width="12" style="1" customWidth="1"/>
    <col min="413" max="413" width="3.85546875" style="1" customWidth="1"/>
    <col min="414" max="414" width="8.85546875" style="1" customWidth="1"/>
    <col min="415" max="415" width="11.5703125" style="1" bestFit="1" customWidth="1"/>
    <col min="416" max="416" width="16.42578125" style="1" bestFit="1" customWidth="1"/>
    <col min="417" max="417" width="8.5703125" style="1" bestFit="1" customWidth="1"/>
    <col min="418" max="418" width="17.42578125" style="1" customWidth="1"/>
    <col min="419" max="660" width="9.140625" style="1"/>
    <col min="661" max="661" width="2.5703125" style="1" customWidth="1"/>
    <col min="662" max="662" width="13.7109375" style="1" customWidth="1"/>
    <col min="663" max="663" width="62.42578125" style="1" customWidth="1"/>
    <col min="664" max="664" width="6" style="1" customWidth="1"/>
    <col min="665" max="665" width="9.5703125" style="1" customWidth="1"/>
    <col min="666" max="666" width="15.140625" style="1" customWidth="1"/>
    <col min="667" max="667" width="16.85546875" style="1" customWidth="1"/>
    <col min="668" max="668" width="12" style="1" customWidth="1"/>
    <col min="669" max="669" width="3.85546875" style="1" customWidth="1"/>
    <col min="670" max="670" width="8.85546875" style="1" customWidth="1"/>
    <col min="671" max="671" width="11.5703125" style="1" bestFit="1" customWidth="1"/>
    <col min="672" max="672" width="16.42578125" style="1" bestFit="1" customWidth="1"/>
    <col min="673" max="673" width="8.5703125" style="1" bestFit="1" customWidth="1"/>
    <col min="674" max="674" width="17.42578125" style="1" customWidth="1"/>
    <col min="675" max="916" width="9.140625" style="1"/>
    <col min="917" max="917" width="2.5703125" style="1" customWidth="1"/>
    <col min="918" max="918" width="13.7109375" style="1" customWidth="1"/>
    <col min="919" max="919" width="62.42578125" style="1" customWidth="1"/>
    <col min="920" max="920" width="6" style="1" customWidth="1"/>
    <col min="921" max="921" width="9.5703125" style="1" customWidth="1"/>
    <col min="922" max="922" width="15.140625" style="1" customWidth="1"/>
    <col min="923" max="923" width="16.85546875" style="1" customWidth="1"/>
    <col min="924" max="924" width="12" style="1" customWidth="1"/>
    <col min="925" max="925" width="3.85546875" style="1" customWidth="1"/>
    <col min="926" max="926" width="8.85546875" style="1" customWidth="1"/>
    <col min="927" max="927" width="11.5703125" style="1" bestFit="1" customWidth="1"/>
    <col min="928" max="928" width="16.42578125" style="1" bestFit="1" customWidth="1"/>
    <col min="929" max="929" width="8.5703125" style="1" bestFit="1" customWidth="1"/>
    <col min="930" max="930" width="17.42578125" style="1" customWidth="1"/>
    <col min="931" max="1172" width="9.140625" style="1"/>
    <col min="1173" max="1173" width="2.5703125" style="1" customWidth="1"/>
    <col min="1174" max="1174" width="13.7109375" style="1" customWidth="1"/>
    <col min="1175" max="1175" width="62.42578125" style="1" customWidth="1"/>
    <col min="1176" max="1176" width="6" style="1" customWidth="1"/>
    <col min="1177" max="1177" width="9.5703125" style="1" customWidth="1"/>
    <col min="1178" max="1178" width="15.140625" style="1" customWidth="1"/>
    <col min="1179" max="1179" width="16.85546875" style="1" customWidth="1"/>
    <col min="1180" max="1180" width="12" style="1" customWidth="1"/>
    <col min="1181" max="1181" width="3.85546875" style="1" customWidth="1"/>
    <col min="1182" max="1182" width="8.85546875" style="1" customWidth="1"/>
    <col min="1183" max="1183" width="11.5703125" style="1" bestFit="1" customWidth="1"/>
    <col min="1184" max="1184" width="16.42578125" style="1" bestFit="1" customWidth="1"/>
    <col min="1185" max="1185" width="8.5703125" style="1" bestFit="1" customWidth="1"/>
    <col min="1186" max="1186" width="17.42578125" style="1" customWidth="1"/>
    <col min="1187" max="1428" width="9.140625" style="1"/>
    <col min="1429" max="1429" width="2.5703125" style="1" customWidth="1"/>
    <col min="1430" max="1430" width="13.7109375" style="1" customWidth="1"/>
    <col min="1431" max="1431" width="62.42578125" style="1" customWidth="1"/>
    <col min="1432" max="1432" width="6" style="1" customWidth="1"/>
    <col min="1433" max="1433" width="9.5703125" style="1" customWidth="1"/>
    <col min="1434" max="1434" width="15.140625" style="1" customWidth="1"/>
    <col min="1435" max="1435" width="16.85546875" style="1" customWidth="1"/>
    <col min="1436" max="1436" width="12" style="1" customWidth="1"/>
    <col min="1437" max="1437" width="3.85546875" style="1" customWidth="1"/>
    <col min="1438" max="1438" width="8.85546875" style="1" customWidth="1"/>
    <col min="1439" max="1439" width="11.5703125" style="1" bestFit="1" customWidth="1"/>
    <col min="1440" max="1440" width="16.42578125" style="1" bestFit="1" customWidth="1"/>
    <col min="1441" max="1441" width="8.5703125" style="1" bestFit="1" customWidth="1"/>
    <col min="1442" max="1442" width="17.42578125" style="1" customWidth="1"/>
    <col min="1443" max="1684" width="9.140625" style="1"/>
    <col min="1685" max="1685" width="2.5703125" style="1" customWidth="1"/>
    <col min="1686" max="1686" width="13.7109375" style="1" customWidth="1"/>
    <col min="1687" max="1687" width="62.42578125" style="1" customWidth="1"/>
    <col min="1688" max="1688" width="6" style="1" customWidth="1"/>
    <col min="1689" max="1689" width="9.5703125" style="1" customWidth="1"/>
    <col min="1690" max="1690" width="15.140625" style="1" customWidth="1"/>
    <col min="1691" max="1691" width="16.85546875" style="1" customWidth="1"/>
    <col min="1692" max="1692" width="12" style="1" customWidth="1"/>
    <col min="1693" max="1693" width="3.85546875" style="1" customWidth="1"/>
    <col min="1694" max="1694" width="8.85546875" style="1" customWidth="1"/>
    <col min="1695" max="1695" width="11.5703125" style="1" bestFit="1" customWidth="1"/>
    <col min="1696" max="1696" width="16.42578125" style="1" bestFit="1" customWidth="1"/>
    <col min="1697" max="1697" width="8.5703125" style="1" bestFit="1" customWidth="1"/>
    <col min="1698" max="1698" width="17.42578125" style="1" customWidth="1"/>
    <col min="1699" max="1940" width="9.140625" style="1"/>
    <col min="1941" max="1941" width="2.5703125" style="1" customWidth="1"/>
    <col min="1942" max="1942" width="13.7109375" style="1" customWidth="1"/>
    <col min="1943" max="1943" width="62.42578125" style="1" customWidth="1"/>
    <col min="1944" max="1944" width="6" style="1" customWidth="1"/>
    <col min="1945" max="1945" width="9.5703125" style="1" customWidth="1"/>
    <col min="1946" max="1946" width="15.140625" style="1" customWidth="1"/>
    <col min="1947" max="1947" width="16.85546875" style="1" customWidth="1"/>
    <col min="1948" max="1948" width="12" style="1" customWidth="1"/>
    <col min="1949" max="1949" width="3.85546875" style="1" customWidth="1"/>
    <col min="1950" max="1950" width="8.85546875" style="1" customWidth="1"/>
    <col min="1951" max="1951" width="11.5703125" style="1" bestFit="1" customWidth="1"/>
    <col min="1952" max="1952" width="16.42578125" style="1" bestFit="1" customWidth="1"/>
    <col min="1953" max="1953" width="8.5703125" style="1" bestFit="1" customWidth="1"/>
    <col min="1954" max="1954" width="17.42578125" style="1" customWidth="1"/>
    <col min="1955" max="2196" width="9.140625" style="1"/>
    <col min="2197" max="2197" width="2.5703125" style="1" customWidth="1"/>
    <col min="2198" max="2198" width="13.7109375" style="1" customWidth="1"/>
    <col min="2199" max="2199" width="62.42578125" style="1" customWidth="1"/>
    <col min="2200" max="2200" width="6" style="1" customWidth="1"/>
    <col min="2201" max="2201" width="9.5703125" style="1" customWidth="1"/>
    <col min="2202" max="2202" width="15.140625" style="1" customWidth="1"/>
    <col min="2203" max="2203" width="16.85546875" style="1" customWidth="1"/>
    <col min="2204" max="2204" width="12" style="1" customWidth="1"/>
    <col min="2205" max="2205" width="3.85546875" style="1" customWidth="1"/>
    <col min="2206" max="2206" width="8.85546875" style="1" customWidth="1"/>
    <col min="2207" max="2207" width="11.5703125" style="1" bestFit="1" customWidth="1"/>
    <col min="2208" max="2208" width="16.42578125" style="1" bestFit="1" customWidth="1"/>
    <col min="2209" max="2209" width="8.5703125" style="1" bestFit="1" customWidth="1"/>
    <col min="2210" max="2210" width="17.42578125" style="1" customWidth="1"/>
    <col min="2211" max="2452" width="9.140625" style="1"/>
    <col min="2453" max="2453" width="2.5703125" style="1" customWidth="1"/>
    <col min="2454" max="2454" width="13.7109375" style="1" customWidth="1"/>
    <col min="2455" max="2455" width="62.42578125" style="1" customWidth="1"/>
    <col min="2456" max="2456" width="6" style="1" customWidth="1"/>
    <col min="2457" max="2457" width="9.5703125" style="1" customWidth="1"/>
    <col min="2458" max="2458" width="15.140625" style="1" customWidth="1"/>
    <col min="2459" max="2459" width="16.85546875" style="1" customWidth="1"/>
    <col min="2460" max="2460" width="12" style="1" customWidth="1"/>
    <col min="2461" max="2461" width="3.85546875" style="1" customWidth="1"/>
    <col min="2462" max="2462" width="8.85546875" style="1" customWidth="1"/>
    <col min="2463" max="2463" width="11.5703125" style="1" bestFit="1" customWidth="1"/>
    <col min="2464" max="2464" width="16.42578125" style="1" bestFit="1" customWidth="1"/>
    <col min="2465" max="2465" width="8.5703125" style="1" bestFit="1" customWidth="1"/>
    <col min="2466" max="2466" width="17.42578125" style="1" customWidth="1"/>
    <col min="2467" max="2708" width="9.140625" style="1"/>
    <col min="2709" max="2709" width="2.5703125" style="1" customWidth="1"/>
    <col min="2710" max="2710" width="13.7109375" style="1" customWidth="1"/>
    <col min="2711" max="2711" width="62.42578125" style="1" customWidth="1"/>
    <col min="2712" max="2712" width="6" style="1" customWidth="1"/>
    <col min="2713" max="2713" width="9.5703125" style="1" customWidth="1"/>
    <col min="2714" max="2714" width="15.140625" style="1" customWidth="1"/>
    <col min="2715" max="2715" width="16.85546875" style="1" customWidth="1"/>
    <col min="2716" max="2716" width="12" style="1" customWidth="1"/>
    <col min="2717" max="2717" width="3.85546875" style="1" customWidth="1"/>
    <col min="2718" max="2718" width="8.85546875" style="1" customWidth="1"/>
    <col min="2719" max="2719" width="11.5703125" style="1" bestFit="1" customWidth="1"/>
    <col min="2720" max="2720" width="16.42578125" style="1" bestFit="1" customWidth="1"/>
    <col min="2721" max="2721" width="8.5703125" style="1" bestFit="1" customWidth="1"/>
    <col min="2722" max="2722" width="17.42578125" style="1" customWidth="1"/>
    <col min="2723" max="2964" width="9.140625" style="1"/>
    <col min="2965" max="2965" width="2.5703125" style="1" customWidth="1"/>
    <col min="2966" max="2966" width="13.7109375" style="1" customWidth="1"/>
    <col min="2967" max="2967" width="62.42578125" style="1" customWidth="1"/>
    <col min="2968" max="2968" width="6" style="1" customWidth="1"/>
    <col min="2969" max="2969" width="9.5703125" style="1" customWidth="1"/>
    <col min="2970" max="2970" width="15.140625" style="1" customWidth="1"/>
    <col min="2971" max="2971" width="16.85546875" style="1" customWidth="1"/>
    <col min="2972" max="2972" width="12" style="1" customWidth="1"/>
    <col min="2973" max="2973" width="3.85546875" style="1" customWidth="1"/>
    <col min="2974" max="2974" width="8.85546875" style="1" customWidth="1"/>
    <col min="2975" max="2975" width="11.5703125" style="1" bestFit="1" customWidth="1"/>
    <col min="2976" max="2976" width="16.42578125" style="1" bestFit="1" customWidth="1"/>
    <col min="2977" max="2977" width="8.5703125" style="1" bestFit="1" customWidth="1"/>
    <col min="2978" max="2978" width="17.42578125" style="1" customWidth="1"/>
    <col min="2979" max="3220" width="9.140625" style="1"/>
    <col min="3221" max="3221" width="2.5703125" style="1" customWidth="1"/>
    <col min="3222" max="3222" width="13.7109375" style="1" customWidth="1"/>
    <col min="3223" max="3223" width="62.42578125" style="1" customWidth="1"/>
    <col min="3224" max="3224" width="6" style="1" customWidth="1"/>
    <col min="3225" max="3225" width="9.5703125" style="1" customWidth="1"/>
    <col min="3226" max="3226" width="15.140625" style="1" customWidth="1"/>
    <col min="3227" max="3227" width="16.85546875" style="1" customWidth="1"/>
    <col min="3228" max="3228" width="12" style="1" customWidth="1"/>
    <col min="3229" max="3229" width="3.85546875" style="1" customWidth="1"/>
    <col min="3230" max="3230" width="8.85546875" style="1" customWidth="1"/>
    <col min="3231" max="3231" width="11.5703125" style="1" bestFit="1" customWidth="1"/>
    <col min="3232" max="3232" width="16.42578125" style="1" bestFit="1" customWidth="1"/>
    <col min="3233" max="3233" width="8.5703125" style="1" bestFit="1" customWidth="1"/>
    <col min="3234" max="3234" width="17.42578125" style="1" customWidth="1"/>
    <col min="3235" max="3476" width="9.140625" style="1"/>
    <col min="3477" max="3477" width="2.5703125" style="1" customWidth="1"/>
    <col min="3478" max="3478" width="13.7109375" style="1" customWidth="1"/>
    <col min="3479" max="3479" width="62.42578125" style="1" customWidth="1"/>
    <col min="3480" max="3480" width="6" style="1" customWidth="1"/>
    <col min="3481" max="3481" width="9.5703125" style="1" customWidth="1"/>
    <col min="3482" max="3482" width="15.140625" style="1" customWidth="1"/>
    <col min="3483" max="3483" width="16.85546875" style="1" customWidth="1"/>
    <col min="3484" max="3484" width="12" style="1" customWidth="1"/>
    <col min="3485" max="3485" width="3.85546875" style="1" customWidth="1"/>
    <col min="3486" max="3486" width="8.85546875" style="1" customWidth="1"/>
    <col min="3487" max="3487" width="11.5703125" style="1" bestFit="1" customWidth="1"/>
    <col min="3488" max="3488" width="16.42578125" style="1" bestFit="1" customWidth="1"/>
    <col min="3489" max="3489" width="8.5703125" style="1" bestFit="1" customWidth="1"/>
    <col min="3490" max="3490" width="17.42578125" style="1" customWidth="1"/>
    <col min="3491" max="3732" width="9.140625" style="1"/>
    <col min="3733" max="3733" width="2.5703125" style="1" customWidth="1"/>
    <col min="3734" max="3734" width="13.7109375" style="1" customWidth="1"/>
    <col min="3735" max="3735" width="62.42578125" style="1" customWidth="1"/>
    <col min="3736" max="3736" width="6" style="1" customWidth="1"/>
    <col min="3737" max="3737" width="9.5703125" style="1" customWidth="1"/>
    <col min="3738" max="3738" width="15.140625" style="1" customWidth="1"/>
    <col min="3739" max="3739" width="16.85546875" style="1" customWidth="1"/>
    <col min="3740" max="3740" width="12" style="1" customWidth="1"/>
    <col min="3741" max="3741" width="3.85546875" style="1" customWidth="1"/>
    <col min="3742" max="3742" width="8.85546875" style="1" customWidth="1"/>
    <col min="3743" max="3743" width="11.5703125" style="1" bestFit="1" customWidth="1"/>
    <col min="3744" max="3744" width="16.42578125" style="1" bestFit="1" customWidth="1"/>
    <col min="3745" max="3745" width="8.5703125" style="1" bestFit="1" customWidth="1"/>
    <col min="3746" max="3746" width="17.42578125" style="1" customWidth="1"/>
    <col min="3747" max="3988" width="9.140625" style="1"/>
    <col min="3989" max="3989" width="2.5703125" style="1" customWidth="1"/>
    <col min="3990" max="3990" width="13.7109375" style="1" customWidth="1"/>
    <col min="3991" max="3991" width="62.42578125" style="1" customWidth="1"/>
    <col min="3992" max="3992" width="6" style="1" customWidth="1"/>
    <col min="3993" max="3993" width="9.5703125" style="1" customWidth="1"/>
    <col min="3994" max="3994" width="15.140625" style="1" customWidth="1"/>
    <col min="3995" max="3995" width="16.85546875" style="1" customWidth="1"/>
    <col min="3996" max="3996" width="12" style="1" customWidth="1"/>
    <col min="3997" max="3997" width="3.85546875" style="1" customWidth="1"/>
    <col min="3998" max="3998" width="8.85546875" style="1" customWidth="1"/>
    <col min="3999" max="3999" width="11.5703125" style="1" bestFit="1" customWidth="1"/>
    <col min="4000" max="4000" width="16.42578125" style="1" bestFit="1" customWidth="1"/>
    <col min="4001" max="4001" width="8.5703125" style="1" bestFit="1" customWidth="1"/>
    <col min="4002" max="4002" width="17.42578125" style="1" customWidth="1"/>
    <col min="4003" max="4244" width="9.140625" style="1"/>
    <col min="4245" max="4245" width="2.5703125" style="1" customWidth="1"/>
    <col min="4246" max="4246" width="13.7109375" style="1" customWidth="1"/>
    <col min="4247" max="4247" width="62.42578125" style="1" customWidth="1"/>
    <col min="4248" max="4248" width="6" style="1" customWidth="1"/>
    <col min="4249" max="4249" width="9.5703125" style="1" customWidth="1"/>
    <col min="4250" max="4250" width="15.140625" style="1" customWidth="1"/>
    <col min="4251" max="4251" width="16.85546875" style="1" customWidth="1"/>
    <col min="4252" max="4252" width="12" style="1" customWidth="1"/>
    <col min="4253" max="4253" width="3.85546875" style="1" customWidth="1"/>
    <col min="4254" max="4254" width="8.85546875" style="1" customWidth="1"/>
    <col min="4255" max="4255" width="11.5703125" style="1" bestFit="1" customWidth="1"/>
    <col min="4256" max="4256" width="16.42578125" style="1" bestFit="1" customWidth="1"/>
    <col min="4257" max="4257" width="8.5703125" style="1" bestFit="1" customWidth="1"/>
    <col min="4258" max="4258" width="17.42578125" style="1" customWidth="1"/>
    <col min="4259" max="4500" width="9.140625" style="1"/>
    <col min="4501" max="4501" width="2.5703125" style="1" customWidth="1"/>
    <col min="4502" max="4502" width="13.7109375" style="1" customWidth="1"/>
    <col min="4503" max="4503" width="62.42578125" style="1" customWidth="1"/>
    <col min="4504" max="4504" width="6" style="1" customWidth="1"/>
    <col min="4505" max="4505" width="9.5703125" style="1" customWidth="1"/>
    <col min="4506" max="4506" width="15.140625" style="1" customWidth="1"/>
    <col min="4507" max="4507" width="16.85546875" style="1" customWidth="1"/>
    <col min="4508" max="4508" width="12" style="1" customWidth="1"/>
    <col min="4509" max="4509" width="3.85546875" style="1" customWidth="1"/>
    <col min="4510" max="4510" width="8.85546875" style="1" customWidth="1"/>
    <col min="4511" max="4511" width="11.5703125" style="1" bestFit="1" customWidth="1"/>
    <col min="4512" max="4512" width="16.42578125" style="1" bestFit="1" customWidth="1"/>
    <col min="4513" max="4513" width="8.5703125" style="1" bestFit="1" customWidth="1"/>
    <col min="4514" max="4514" width="17.42578125" style="1" customWidth="1"/>
    <col min="4515" max="4756" width="9.140625" style="1"/>
    <col min="4757" max="4757" width="2.5703125" style="1" customWidth="1"/>
    <col min="4758" max="4758" width="13.7109375" style="1" customWidth="1"/>
    <col min="4759" max="4759" width="62.42578125" style="1" customWidth="1"/>
    <col min="4760" max="4760" width="6" style="1" customWidth="1"/>
    <col min="4761" max="4761" width="9.5703125" style="1" customWidth="1"/>
    <col min="4762" max="4762" width="15.140625" style="1" customWidth="1"/>
    <col min="4763" max="4763" width="16.85546875" style="1" customWidth="1"/>
    <col min="4764" max="4764" width="12" style="1" customWidth="1"/>
    <col min="4765" max="4765" width="3.85546875" style="1" customWidth="1"/>
    <col min="4766" max="4766" width="8.85546875" style="1" customWidth="1"/>
    <col min="4767" max="4767" width="11.5703125" style="1" bestFit="1" customWidth="1"/>
    <col min="4768" max="4768" width="16.42578125" style="1" bestFit="1" customWidth="1"/>
    <col min="4769" max="4769" width="8.5703125" style="1" bestFit="1" customWidth="1"/>
    <col min="4770" max="4770" width="17.42578125" style="1" customWidth="1"/>
    <col min="4771" max="5012" width="9.140625" style="1"/>
    <col min="5013" max="5013" width="2.5703125" style="1" customWidth="1"/>
    <col min="5014" max="5014" width="13.7109375" style="1" customWidth="1"/>
    <col min="5015" max="5015" width="62.42578125" style="1" customWidth="1"/>
    <col min="5016" max="5016" width="6" style="1" customWidth="1"/>
    <col min="5017" max="5017" width="9.5703125" style="1" customWidth="1"/>
    <col min="5018" max="5018" width="15.140625" style="1" customWidth="1"/>
    <col min="5019" max="5019" width="16.85546875" style="1" customWidth="1"/>
    <col min="5020" max="5020" width="12" style="1" customWidth="1"/>
    <col min="5021" max="5021" width="3.85546875" style="1" customWidth="1"/>
    <col min="5022" max="5022" width="8.85546875" style="1" customWidth="1"/>
    <col min="5023" max="5023" width="11.5703125" style="1" bestFit="1" customWidth="1"/>
    <col min="5024" max="5024" width="16.42578125" style="1" bestFit="1" customWidth="1"/>
    <col min="5025" max="5025" width="8.5703125" style="1" bestFit="1" customWidth="1"/>
    <col min="5026" max="5026" width="17.42578125" style="1" customWidth="1"/>
    <col min="5027" max="5268" width="9.140625" style="1"/>
    <col min="5269" max="5269" width="2.5703125" style="1" customWidth="1"/>
    <col min="5270" max="5270" width="13.7109375" style="1" customWidth="1"/>
    <col min="5271" max="5271" width="62.42578125" style="1" customWidth="1"/>
    <col min="5272" max="5272" width="6" style="1" customWidth="1"/>
    <col min="5273" max="5273" width="9.5703125" style="1" customWidth="1"/>
    <col min="5274" max="5274" width="15.140625" style="1" customWidth="1"/>
    <col min="5275" max="5275" width="16.85546875" style="1" customWidth="1"/>
    <col min="5276" max="5276" width="12" style="1" customWidth="1"/>
    <col min="5277" max="5277" width="3.85546875" style="1" customWidth="1"/>
    <col min="5278" max="5278" width="8.85546875" style="1" customWidth="1"/>
    <col min="5279" max="5279" width="11.5703125" style="1" bestFit="1" customWidth="1"/>
    <col min="5280" max="5280" width="16.42578125" style="1" bestFit="1" customWidth="1"/>
    <col min="5281" max="5281" width="8.5703125" style="1" bestFit="1" customWidth="1"/>
    <col min="5282" max="5282" width="17.42578125" style="1" customWidth="1"/>
    <col min="5283" max="5524" width="9.140625" style="1"/>
    <col min="5525" max="5525" width="2.5703125" style="1" customWidth="1"/>
    <col min="5526" max="5526" width="13.7109375" style="1" customWidth="1"/>
    <col min="5527" max="5527" width="62.42578125" style="1" customWidth="1"/>
    <col min="5528" max="5528" width="6" style="1" customWidth="1"/>
    <col min="5529" max="5529" width="9.5703125" style="1" customWidth="1"/>
    <col min="5530" max="5530" width="15.140625" style="1" customWidth="1"/>
    <col min="5531" max="5531" width="16.85546875" style="1" customWidth="1"/>
    <col min="5532" max="5532" width="12" style="1" customWidth="1"/>
    <col min="5533" max="5533" width="3.85546875" style="1" customWidth="1"/>
    <col min="5534" max="5534" width="8.85546875" style="1" customWidth="1"/>
    <col min="5535" max="5535" width="11.5703125" style="1" bestFit="1" customWidth="1"/>
    <col min="5536" max="5536" width="16.42578125" style="1" bestFit="1" customWidth="1"/>
    <col min="5537" max="5537" width="8.5703125" style="1" bestFit="1" customWidth="1"/>
    <col min="5538" max="5538" width="17.42578125" style="1" customWidth="1"/>
    <col min="5539" max="5780" width="9.140625" style="1"/>
    <col min="5781" max="5781" width="2.5703125" style="1" customWidth="1"/>
    <col min="5782" max="5782" width="13.7109375" style="1" customWidth="1"/>
    <col min="5783" max="5783" width="62.42578125" style="1" customWidth="1"/>
    <col min="5784" max="5784" width="6" style="1" customWidth="1"/>
    <col min="5785" max="5785" width="9.5703125" style="1" customWidth="1"/>
    <col min="5786" max="5786" width="15.140625" style="1" customWidth="1"/>
    <col min="5787" max="5787" width="16.85546875" style="1" customWidth="1"/>
    <col min="5788" max="5788" width="12" style="1" customWidth="1"/>
    <col min="5789" max="5789" width="3.85546875" style="1" customWidth="1"/>
    <col min="5790" max="5790" width="8.85546875" style="1" customWidth="1"/>
    <col min="5791" max="5791" width="11.5703125" style="1" bestFit="1" customWidth="1"/>
    <col min="5792" max="5792" width="16.42578125" style="1" bestFit="1" customWidth="1"/>
    <col min="5793" max="5793" width="8.5703125" style="1" bestFit="1" customWidth="1"/>
    <col min="5794" max="5794" width="17.42578125" style="1" customWidth="1"/>
    <col min="5795" max="6036" width="9.140625" style="1"/>
    <col min="6037" max="6037" width="2.5703125" style="1" customWidth="1"/>
    <col min="6038" max="6038" width="13.7109375" style="1" customWidth="1"/>
    <col min="6039" max="6039" width="62.42578125" style="1" customWidth="1"/>
    <col min="6040" max="6040" width="6" style="1" customWidth="1"/>
    <col min="6041" max="6041" width="9.5703125" style="1" customWidth="1"/>
    <col min="6042" max="6042" width="15.140625" style="1" customWidth="1"/>
    <col min="6043" max="6043" width="16.85546875" style="1" customWidth="1"/>
    <col min="6044" max="6044" width="12" style="1" customWidth="1"/>
    <col min="6045" max="6045" width="3.85546875" style="1" customWidth="1"/>
    <col min="6046" max="6046" width="8.85546875" style="1" customWidth="1"/>
    <col min="6047" max="6047" width="11.5703125" style="1" bestFit="1" customWidth="1"/>
    <col min="6048" max="6048" width="16.42578125" style="1" bestFit="1" customWidth="1"/>
    <col min="6049" max="6049" width="8.5703125" style="1" bestFit="1" customWidth="1"/>
    <col min="6050" max="6050" width="17.42578125" style="1" customWidth="1"/>
    <col min="6051" max="6292" width="9.140625" style="1"/>
    <col min="6293" max="6293" width="2.5703125" style="1" customWidth="1"/>
    <col min="6294" max="6294" width="13.7109375" style="1" customWidth="1"/>
    <col min="6295" max="6295" width="62.42578125" style="1" customWidth="1"/>
    <col min="6296" max="6296" width="6" style="1" customWidth="1"/>
    <col min="6297" max="6297" width="9.5703125" style="1" customWidth="1"/>
    <col min="6298" max="6298" width="15.140625" style="1" customWidth="1"/>
    <col min="6299" max="6299" width="16.85546875" style="1" customWidth="1"/>
    <col min="6300" max="6300" width="12" style="1" customWidth="1"/>
    <col min="6301" max="6301" width="3.85546875" style="1" customWidth="1"/>
    <col min="6302" max="6302" width="8.85546875" style="1" customWidth="1"/>
    <col min="6303" max="6303" width="11.5703125" style="1" bestFit="1" customWidth="1"/>
    <col min="6304" max="6304" width="16.42578125" style="1" bestFit="1" customWidth="1"/>
    <col min="6305" max="6305" width="8.5703125" style="1" bestFit="1" customWidth="1"/>
    <col min="6306" max="6306" width="17.42578125" style="1" customWidth="1"/>
    <col min="6307" max="6548" width="9.140625" style="1"/>
    <col min="6549" max="6549" width="2.5703125" style="1" customWidth="1"/>
    <col min="6550" max="6550" width="13.7109375" style="1" customWidth="1"/>
    <col min="6551" max="6551" width="62.42578125" style="1" customWidth="1"/>
    <col min="6552" max="6552" width="6" style="1" customWidth="1"/>
    <col min="6553" max="6553" width="9.5703125" style="1" customWidth="1"/>
    <col min="6554" max="6554" width="15.140625" style="1" customWidth="1"/>
    <col min="6555" max="6555" width="16.85546875" style="1" customWidth="1"/>
    <col min="6556" max="6556" width="12" style="1" customWidth="1"/>
    <col min="6557" max="6557" width="3.85546875" style="1" customWidth="1"/>
    <col min="6558" max="6558" width="8.85546875" style="1" customWidth="1"/>
    <col min="6559" max="6559" width="11.5703125" style="1" bestFit="1" customWidth="1"/>
    <col min="6560" max="6560" width="16.42578125" style="1" bestFit="1" customWidth="1"/>
    <col min="6561" max="6561" width="8.5703125" style="1" bestFit="1" customWidth="1"/>
    <col min="6562" max="6562" width="17.42578125" style="1" customWidth="1"/>
    <col min="6563" max="6804" width="9.140625" style="1"/>
    <col min="6805" max="6805" width="2.5703125" style="1" customWidth="1"/>
    <col min="6806" max="6806" width="13.7109375" style="1" customWidth="1"/>
    <col min="6807" max="6807" width="62.42578125" style="1" customWidth="1"/>
    <col min="6808" max="6808" width="6" style="1" customWidth="1"/>
    <col min="6809" max="6809" width="9.5703125" style="1" customWidth="1"/>
    <col min="6810" max="6810" width="15.140625" style="1" customWidth="1"/>
    <col min="6811" max="6811" width="16.85546875" style="1" customWidth="1"/>
    <col min="6812" max="6812" width="12" style="1" customWidth="1"/>
    <col min="6813" max="6813" width="3.85546875" style="1" customWidth="1"/>
    <col min="6814" max="6814" width="8.85546875" style="1" customWidth="1"/>
    <col min="6815" max="6815" width="11.5703125" style="1" bestFit="1" customWidth="1"/>
    <col min="6816" max="6816" width="16.42578125" style="1" bestFit="1" customWidth="1"/>
    <col min="6817" max="6817" width="8.5703125" style="1" bestFit="1" customWidth="1"/>
    <col min="6818" max="6818" width="17.42578125" style="1" customWidth="1"/>
    <col min="6819" max="7060" width="9.140625" style="1"/>
    <col min="7061" max="7061" width="2.5703125" style="1" customWidth="1"/>
    <col min="7062" max="7062" width="13.7109375" style="1" customWidth="1"/>
    <col min="7063" max="7063" width="62.42578125" style="1" customWidth="1"/>
    <col min="7064" max="7064" width="6" style="1" customWidth="1"/>
    <col min="7065" max="7065" width="9.5703125" style="1" customWidth="1"/>
    <col min="7066" max="7066" width="15.140625" style="1" customWidth="1"/>
    <col min="7067" max="7067" width="16.85546875" style="1" customWidth="1"/>
    <col min="7068" max="7068" width="12" style="1" customWidth="1"/>
    <col min="7069" max="7069" width="3.85546875" style="1" customWidth="1"/>
    <col min="7070" max="7070" width="8.85546875" style="1" customWidth="1"/>
    <col min="7071" max="7071" width="11.5703125" style="1" bestFit="1" customWidth="1"/>
    <col min="7072" max="7072" width="16.42578125" style="1" bestFit="1" customWidth="1"/>
    <col min="7073" max="7073" width="8.5703125" style="1" bestFit="1" customWidth="1"/>
    <col min="7074" max="7074" width="17.42578125" style="1" customWidth="1"/>
    <col min="7075" max="7316" width="9.140625" style="1"/>
    <col min="7317" max="7317" width="2.5703125" style="1" customWidth="1"/>
    <col min="7318" max="7318" width="13.7109375" style="1" customWidth="1"/>
    <col min="7319" max="7319" width="62.42578125" style="1" customWidth="1"/>
    <col min="7320" max="7320" width="6" style="1" customWidth="1"/>
    <col min="7321" max="7321" width="9.5703125" style="1" customWidth="1"/>
    <col min="7322" max="7322" width="15.140625" style="1" customWidth="1"/>
    <col min="7323" max="7323" width="16.85546875" style="1" customWidth="1"/>
    <col min="7324" max="7324" width="12" style="1" customWidth="1"/>
    <col min="7325" max="7325" width="3.85546875" style="1" customWidth="1"/>
    <col min="7326" max="7326" width="8.85546875" style="1" customWidth="1"/>
    <col min="7327" max="7327" width="11.5703125" style="1" bestFit="1" customWidth="1"/>
    <col min="7328" max="7328" width="16.42578125" style="1" bestFit="1" customWidth="1"/>
    <col min="7329" max="7329" width="8.5703125" style="1" bestFit="1" customWidth="1"/>
    <col min="7330" max="7330" width="17.42578125" style="1" customWidth="1"/>
    <col min="7331" max="7572" width="9.140625" style="1"/>
    <col min="7573" max="7573" width="2.5703125" style="1" customWidth="1"/>
    <col min="7574" max="7574" width="13.7109375" style="1" customWidth="1"/>
    <col min="7575" max="7575" width="62.42578125" style="1" customWidth="1"/>
    <col min="7576" max="7576" width="6" style="1" customWidth="1"/>
    <col min="7577" max="7577" width="9.5703125" style="1" customWidth="1"/>
    <col min="7578" max="7578" width="15.140625" style="1" customWidth="1"/>
    <col min="7579" max="7579" width="16.85546875" style="1" customWidth="1"/>
    <col min="7580" max="7580" width="12" style="1" customWidth="1"/>
    <col min="7581" max="7581" width="3.85546875" style="1" customWidth="1"/>
    <col min="7582" max="7582" width="8.85546875" style="1" customWidth="1"/>
    <col min="7583" max="7583" width="11.5703125" style="1" bestFit="1" customWidth="1"/>
    <col min="7584" max="7584" width="16.42578125" style="1" bestFit="1" customWidth="1"/>
    <col min="7585" max="7585" width="8.5703125" style="1" bestFit="1" customWidth="1"/>
    <col min="7586" max="7586" width="17.42578125" style="1" customWidth="1"/>
    <col min="7587" max="7828" width="9.140625" style="1"/>
    <col min="7829" max="7829" width="2.5703125" style="1" customWidth="1"/>
    <col min="7830" max="7830" width="13.7109375" style="1" customWidth="1"/>
    <col min="7831" max="7831" width="62.42578125" style="1" customWidth="1"/>
    <col min="7832" max="7832" width="6" style="1" customWidth="1"/>
    <col min="7833" max="7833" width="9.5703125" style="1" customWidth="1"/>
    <col min="7834" max="7834" width="15.140625" style="1" customWidth="1"/>
    <col min="7835" max="7835" width="16.85546875" style="1" customWidth="1"/>
    <col min="7836" max="7836" width="12" style="1" customWidth="1"/>
    <col min="7837" max="7837" width="3.85546875" style="1" customWidth="1"/>
    <col min="7838" max="7838" width="8.85546875" style="1" customWidth="1"/>
    <col min="7839" max="7839" width="11.5703125" style="1" bestFit="1" customWidth="1"/>
    <col min="7840" max="7840" width="16.42578125" style="1" bestFit="1" customWidth="1"/>
    <col min="7841" max="7841" width="8.5703125" style="1" bestFit="1" customWidth="1"/>
    <col min="7842" max="7842" width="17.42578125" style="1" customWidth="1"/>
    <col min="7843" max="8084" width="9.140625" style="1"/>
    <col min="8085" max="8085" width="2.5703125" style="1" customWidth="1"/>
    <col min="8086" max="8086" width="13.7109375" style="1" customWidth="1"/>
    <col min="8087" max="8087" width="62.42578125" style="1" customWidth="1"/>
    <col min="8088" max="8088" width="6" style="1" customWidth="1"/>
    <col min="8089" max="8089" width="9.5703125" style="1" customWidth="1"/>
    <col min="8090" max="8090" width="15.140625" style="1" customWidth="1"/>
    <col min="8091" max="8091" width="16.85546875" style="1" customWidth="1"/>
    <col min="8092" max="8092" width="12" style="1" customWidth="1"/>
    <col min="8093" max="8093" width="3.85546875" style="1" customWidth="1"/>
    <col min="8094" max="8094" width="8.85546875" style="1" customWidth="1"/>
    <col min="8095" max="8095" width="11.5703125" style="1" bestFit="1" customWidth="1"/>
    <col min="8096" max="8096" width="16.42578125" style="1" bestFit="1" customWidth="1"/>
    <col min="8097" max="8097" width="8.5703125" style="1" bestFit="1" customWidth="1"/>
    <col min="8098" max="8098" width="17.42578125" style="1" customWidth="1"/>
    <col min="8099" max="8340" width="9.140625" style="1"/>
    <col min="8341" max="8341" width="2.5703125" style="1" customWidth="1"/>
    <col min="8342" max="8342" width="13.7109375" style="1" customWidth="1"/>
    <col min="8343" max="8343" width="62.42578125" style="1" customWidth="1"/>
    <col min="8344" max="8344" width="6" style="1" customWidth="1"/>
    <col min="8345" max="8345" width="9.5703125" style="1" customWidth="1"/>
    <col min="8346" max="8346" width="15.140625" style="1" customWidth="1"/>
    <col min="8347" max="8347" width="16.85546875" style="1" customWidth="1"/>
    <col min="8348" max="8348" width="12" style="1" customWidth="1"/>
    <col min="8349" max="8349" width="3.85546875" style="1" customWidth="1"/>
    <col min="8350" max="8350" width="8.85546875" style="1" customWidth="1"/>
    <col min="8351" max="8351" width="11.5703125" style="1" bestFit="1" customWidth="1"/>
    <col min="8352" max="8352" width="16.42578125" style="1" bestFit="1" customWidth="1"/>
    <col min="8353" max="8353" width="8.5703125" style="1" bestFit="1" customWidth="1"/>
    <col min="8354" max="8354" width="17.42578125" style="1" customWidth="1"/>
    <col min="8355" max="8596" width="9.140625" style="1"/>
    <col min="8597" max="8597" width="2.5703125" style="1" customWidth="1"/>
    <col min="8598" max="8598" width="13.7109375" style="1" customWidth="1"/>
    <col min="8599" max="8599" width="62.42578125" style="1" customWidth="1"/>
    <col min="8600" max="8600" width="6" style="1" customWidth="1"/>
    <col min="8601" max="8601" width="9.5703125" style="1" customWidth="1"/>
    <col min="8602" max="8602" width="15.140625" style="1" customWidth="1"/>
    <col min="8603" max="8603" width="16.85546875" style="1" customWidth="1"/>
    <col min="8604" max="8604" width="12" style="1" customWidth="1"/>
    <col min="8605" max="8605" width="3.85546875" style="1" customWidth="1"/>
    <col min="8606" max="8606" width="8.85546875" style="1" customWidth="1"/>
    <col min="8607" max="8607" width="11.5703125" style="1" bestFit="1" customWidth="1"/>
    <col min="8608" max="8608" width="16.42578125" style="1" bestFit="1" customWidth="1"/>
    <col min="8609" max="8609" width="8.5703125" style="1" bestFit="1" customWidth="1"/>
    <col min="8610" max="8610" width="17.42578125" style="1" customWidth="1"/>
    <col min="8611" max="8852" width="9.140625" style="1"/>
    <col min="8853" max="8853" width="2.5703125" style="1" customWidth="1"/>
    <col min="8854" max="8854" width="13.7109375" style="1" customWidth="1"/>
    <col min="8855" max="8855" width="62.42578125" style="1" customWidth="1"/>
    <col min="8856" max="8856" width="6" style="1" customWidth="1"/>
    <col min="8857" max="8857" width="9.5703125" style="1" customWidth="1"/>
    <col min="8858" max="8858" width="15.140625" style="1" customWidth="1"/>
    <col min="8859" max="8859" width="16.85546875" style="1" customWidth="1"/>
    <col min="8860" max="8860" width="12" style="1" customWidth="1"/>
    <col min="8861" max="8861" width="3.85546875" style="1" customWidth="1"/>
    <col min="8862" max="8862" width="8.85546875" style="1" customWidth="1"/>
    <col min="8863" max="8863" width="11.5703125" style="1" bestFit="1" customWidth="1"/>
    <col min="8864" max="8864" width="16.42578125" style="1" bestFit="1" customWidth="1"/>
    <col min="8865" max="8865" width="8.5703125" style="1" bestFit="1" customWidth="1"/>
    <col min="8866" max="8866" width="17.42578125" style="1" customWidth="1"/>
    <col min="8867" max="9108" width="9.140625" style="1"/>
    <col min="9109" max="9109" width="2.5703125" style="1" customWidth="1"/>
    <col min="9110" max="9110" width="13.7109375" style="1" customWidth="1"/>
    <col min="9111" max="9111" width="62.42578125" style="1" customWidth="1"/>
    <col min="9112" max="9112" width="6" style="1" customWidth="1"/>
    <col min="9113" max="9113" width="9.5703125" style="1" customWidth="1"/>
    <col min="9114" max="9114" width="15.140625" style="1" customWidth="1"/>
    <col min="9115" max="9115" width="16.85546875" style="1" customWidth="1"/>
    <col min="9116" max="9116" width="12" style="1" customWidth="1"/>
    <col min="9117" max="9117" width="3.85546875" style="1" customWidth="1"/>
    <col min="9118" max="9118" width="8.85546875" style="1" customWidth="1"/>
    <col min="9119" max="9119" width="11.5703125" style="1" bestFit="1" customWidth="1"/>
    <col min="9120" max="9120" width="16.42578125" style="1" bestFit="1" customWidth="1"/>
    <col min="9121" max="9121" width="8.5703125" style="1" bestFit="1" customWidth="1"/>
    <col min="9122" max="9122" width="17.42578125" style="1" customWidth="1"/>
    <col min="9123" max="9364" width="9.140625" style="1"/>
    <col min="9365" max="9365" width="2.5703125" style="1" customWidth="1"/>
    <col min="9366" max="9366" width="13.7109375" style="1" customWidth="1"/>
    <col min="9367" max="9367" width="62.42578125" style="1" customWidth="1"/>
    <col min="9368" max="9368" width="6" style="1" customWidth="1"/>
    <col min="9369" max="9369" width="9.5703125" style="1" customWidth="1"/>
    <col min="9370" max="9370" width="15.140625" style="1" customWidth="1"/>
    <col min="9371" max="9371" width="16.85546875" style="1" customWidth="1"/>
    <col min="9372" max="9372" width="12" style="1" customWidth="1"/>
    <col min="9373" max="9373" width="3.85546875" style="1" customWidth="1"/>
    <col min="9374" max="9374" width="8.85546875" style="1" customWidth="1"/>
    <col min="9375" max="9375" width="11.5703125" style="1" bestFit="1" customWidth="1"/>
    <col min="9376" max="9376" width="16.42578125" style="1" bestFit="1" customWidth="1"/>
    <col min="9377" max="9377" width="8.5703125" style="1" bestFit="1" customWidth="1"/>
    <col min="9378" max="9378" width="17.42578125" style="1" customWidth="1"/>
    <col min="9379" max="9620" width="9.140625" style="1"/>
    <col min="9621" max="9621" width="2.5703125" style="1" customWidth="1"/>
    <col min="9622" max="9622" width="13.7109375" style="1" customWidth="1"/>
    <col min="9623" max="9623" width="62.42578125" style="1" customWidth="1"/>
    <col min="9624" max="9624" width="6" style="1" customWidth="1"/>
    <col min="9625" max="9625" width="9.5703125" style="1" customWidth="1"/>
    <col min="9626" max="9626" width="15.140625" style="1" customWidth="1"/>
    <col min="9627" max="9627" width="16.85546875" style="1" customWidth="1"/>
    <col min="9628" max="9628" width="12" style="1" customWidth="1"/>
    <col min="9629" max="9629" width="3.85546875" style="1" customWidth="1"/>
    <col min="9630" max="9630" width="8.85546875" style="1" customWidth="1"/>
    <col min="9631" max="9631" width="11.5703125" style="1" bestFit="1" customWidth="1"/>
    <col min="9632" max="9632" width="16.42578125" style="1" bestFit="1" customWidth="1"/>
    <col min="9633" max="9633" width="8.5703125" style="1" bestFit="1" customWidth="1"/>
    <col min="9634" max="9634" width="17.42578125" style="1" customWidth="1"/>
    <col min="9635" max="9876" width="9.140625" style="1"/>
    <col min="9877" max="9877" width="2.5703125" style="1" customWidth="1"/>
    <col min="9878" max="9878" width="13.7109375" style="1" customWidth="1"/>
    <col min="9879" max="9879" width="62.42578125" style="1" customWidth="1"/>
    <col min="9880" max="9880" width="6" style="1" customWidth="1"/>
    <col min="9881" max="9881" width="9.5703125" style="1" customWidth="1"/>
    <col min="9882" max="9882" width="15.140625" style="1" customWidth="1"/>
    <col min="9883" max="9883" width="16.85546875" style="1" customWidth="1"/>
    <col min="9884" max="9884" width="12" style="1" customWidth="1"/>
    <col min="9885" max="9885" width="3.85546875" style="1" customWidth="1"/>
    <col min="9886" max="9886" width="8.85546875" style="1" customWidth="1"/>
    <col min="9887" max="9887" width="11.5703125" style="1" bestFit="1" customWidth="1"/>
    <col min="9888" max="9888" width="16.42578125" style="1" bestFit="1" customWidth="1"/>
    <col min="9889" max="9889" width="8.5703125" style="1" bestFit="1" customWidth="1"/>
    <col min="9890" max="9890" width="17.42578125" style="1" customWidth="1"/>
    <col min="9891" max="10132" width="9.140625" style="1"/>
    <col min="10133" max="10133" width="2.5703125" style="1" customWidth="1"/>
    <col min="10134" max="10134" width="13.7109375" style="1" customWidth="1"/>
    <col min="10135" max="10135" width="62.42578125" style="1" customWidth="1"/>
    <col min="10136" max="10136" width="6" style="1" customWidth="1"/>
    <col min="10137" max="10137" width="9.5703125" style="1" customWidth="1"/>
    <col min="10138" max="10138" width="15.140625" style="1" customWidth="1"/>
    <col min="10139" max="10139" width="16.85546875" style="1" customWidth="1"/>
    <col min="10140" max="10140" width="12" style="1" customWidth="1"/>
    <col min="10141" max="10141" width="3.85546875" style="1" customWidth="1"/>
    <col min="10142" max="10142" width="8.85546875" style="1" customWidth="1"/>
    <col min="10143" max="10143" width="11.5703125" style="1" bestFit="1" customWidth="1"/>
    <col min="10144" max="10144" width="16.42578125" style="1" bestFit="1" customWidth="1"/>
    <col min="10145" max="10145" width="8.5703125" style="1" bestFit="1" customWidth="1"/>
    <col min="10146" max="10146" width="17.42578125" style="1" customWidth="1"/>
    <col min="10147" max="10388" width="9.140625" style="1"/>
    <col min="10389" max="10389" width="2.5703125" style="1" customWidth="1"/>
    <col min="10390" max="10390" width="13.7109375" style="1" customWidth="1"/>
    <col min="10391" max="10391" width="62.42578125" style="1" customWidth="1"/>
    <col min="10392" max="10392" width="6" style="1" customWidth="1"/>
    <col min="10393" max="10393" width="9.5703125" style="1" customWidth="1"/>
    <col min="10394" max="10394" width="15.140625" style="1" customWidth="1"/>
    <col min="10395" max="10395" width="16.85546875" style="1" customWidth="1"/>
    <col min="10396" max="10396" width="12" style="1" customWidth="1"/>
    <col min="10397" max="10397" width="3.85546875" style="1" customWidth="1"/>
    <col min="10398" max="10398" width="8.85546875" style="1" customWidth="1"/>
    <col min="10399" max="10399" width="11.5703125" style="1" bestFit="1" customWidth="1"/>
    <col min="10400" max="10400" width="16.42578125" style="1" bestFit="1" customWidth="1"/>
    <col min="10401" max="10401" width="8.5703125" style="1" bestFit="1" customWidth="1"/>
    <col min="10402" max="10402" width="17.42578125" style="1" customWidth="1"/>
    <col min="10403" max="10644" width="9.140625" style="1"/>
    <col min="10645" max="10645" width="2.5703125" style="1" customWidth="1"/>
    <col min="10646" max="10646" width="13.7109375" style="1" customWidth="1"/>
    <col min="10647" max="10647" width="62.42578125" style="1" customWidth="1"/>
    <col min="10648" max="10648" width="6" style="1" customWidth="1"/>
    <col min="10649" max="10649" width="9.5703125" style="1" customWidth="1"/>
    <col min="10650" max="10650" width="15.140625" style="1" customWidth="1"/>
    <col min="10651" max="10651" width="16.85546875" style="1" customWidth="1"/>
    <col min="10652" max="10652" width="12" style="1" customWidth="1"/>
    <col min="10653" max="10653" width="3.85546875" style="1" customWidth="1"/>
    <col min="10654" max="10654" width="8.85546875" style="1" customWidth="1"/>
    <col min="10655" max="10655" width="11.5703125" style="1" bestFit="1" customWidth="1"/>
    <col min="10656" max="10656" width="16.42578125" style="1" bestFit="1" customWidth="1"/>
    <col min="10657" max="10657" width="8.5703125" style="1" bestFit="1" customWidth="1"/>
    <col min="10658" max="10658" width="17.42578125" style="1" customWidth="1"/>
    <col min="10659" max="10900" width="9.140625" style="1"/>
    <col min="10901" max="10901" width="2.5703125" style="1" customWidth="1"/>
    <col min="10902" max="10902" width="13.7109375" style="1" customWidth="1"/>
    <col min="10903" max="10903" width="62.42578125" style="1" customWidth="1"/>
    <col min="10904" max="10904" width="6" style="1" customWidth="1"/>
    <col min="10905" max="10905" width="9.5703125" style="1" customWidth="1"/>
    <col min="10906" max="10906" width="15.140625" style="1" customWidth="1"/>
    <col min="10907" max="10907" width="16.85546875" style="1" customWidth="1"/>
    <col min="10908" max="10908" width="12" style="1" customWidth="1"/>
    <col min="10909" max="10909" width="3.85546875" style="1" customWidth="1"/>
    <col min="10910" max="10910" width="8.85546875" style="1" customWidth="1"/>
    <col min="10911" max="10911" width="11.5703125" style="1" bestFit="1" customWidth="1"/>
    <col min="10912" max="10912" width="16.42578125" style="1" bestFit="1" customWidth="1"/>
    <col min="10913" max="10913" width="8.5703125" style="1" bestFit="1" customWidth="1"/>
    <col min="10914" max="10914" width="17.42578125" style="1" customWidth="1"/>
    <col min="10915" max="11156" width="9.140625" style="1"/>
    <col min="11157" max="11157" width="2.5703125" style="1" customWidth="1"/>
    <col min="11158" max="11158" width="13.7109375" style="1" customWidth="1"/>
    <col min="11159" max="11159" width="62.42578125" style="1" customWidth="1"/>
    <col min="11160" max="11160" width="6" style="1" customWidth="1"/>
    <col min="11161" max="11161" width="9.5703125" style="1" customWidth="1"/>
    <col min="11162" max="11162" width="15.140625" style="1" customWidth="1"/>
    <col min="11163" max="11163" width="16.85546875" style="1" customWidth="1"/>
    <col min="11164" max="11164" width="12" style="1" customWidth="1"/>
    <col min="11165" max="11165" width="3.85546875" style="1" customWidth="1"/>
    <col min="11166" max="11166" width="8.85546875" style="1" customWidth="1"/>
    <col min="11167" max="11167" width="11.5703125" style="1" bestFit="1" customWidth="1"/>
    <col min="11168" max="11168" width="16.42578125" style="1" bestFit="1" customWidth="1"/>
    <col min="11169" max="11169" width="8.5703125" style="1" bestFit="1" customWidth="1"/>
    <col min="11170" max="11170" width="17.42578125" style="1" customWidth="1"/>
    <col min="11171" max="11412" width="9.140625" style="1"/>
    <col min="11413" max="11413" width="2.5703125" style="1" customWidth="1"/>
    <col min="11414" max="11414" width="13.7109375" style="1" customWidth="1"/>
    <col min="11415" max="11415" width="62.42578125" style="1" customWidth="1"/>
    <col min="11416" max="11416" width="6" style="1" customWidth="1"/>
    <col min="11417" max="11417" width="9.5703125" style="1" customWidth="1"/>
    <col min="11418" max="11418" width="15.140625" style="1" customWidth="1"/>
    <col min="11419" max="11419" width="16.85546875" style="1" customWidth="1"/>
    <col min="11420" max="11420" width="12" style="1" customWidth="1"/>
    <col min="11421" max="11421" width="3.85546875" style="1" customWidth="1"/>
    <col min="11422" max="11422" width="8.85546875" style="1" customWidth="1"/>
    <col min="11423" max="11423" width="11.5703125" style="1" bestFit="1" customWidth="1"/>
    <col min="11424" max="11424" width="16.42578125" style="1" bestFit="1" customWidth="1"/>
    <col min="11425" max="11425" width="8.5703125" style="1" bestFit="1" customWidth="1"/>
    <col min="11426" max="11426" width="17.42578125" style="1" customWidth="1"/>
    <col min="11427" max="11668" width="9.140625" style="1"/>
    <col min="11669" max="11669" width="2.5703125" style="1" customWidth="1"/>
    <col min="11670" max="11670" width="13.7109375" style="1" customWidth="1"/>
    <col min="11671" max="11671" width="62.42578125" style="1" customWidth="1"/>
    <col min="11672" max="11672" width="6" style="1" customWidth="1"/>
    <col min="11673" max="11673" width="9.5703125" style="1" customWidth="1"/>
    <col min="11674" max="11674" width="15.140625" style="1" customWidth="1"/>
    <col min="11675" max="11675" width="16.85546875" style="1" customWidth="1"/>
    <col min="11676" max="11676" width="12" style="1" customWidth="1"/>
    <col min="11677" max="11677" width="3.85546875" style="1" customWidth="1"/>
    <col min="11678" max="11678" width="8.85546875" style="1" customWidth="1"/>
    <col min="11679" max="11679" width="11.5703125" style="1" bestFit="1" customWidth="1"/>
    <col min="11680" max="11680" width="16.42578125" style="1" bestFit="1" customWidth="1"/>
    <col min="11681" max="11681" width="8.5703125" style="1" bestFit="1" customWidth="1"/>
    <col min="11682" max="11682" width="17.42578125" style="1" customWidth="1"/>
    <col min="11683" max="11924" width="9.140625" style="1"/>
    <col min="11925" max="11925" width="2.5703125" style="1" customWidth="1"/>
    <col min="11926" max="11926" width="13.7109375" style="1" customWidth="1"/>
    <col min="11927" max="11927" width="62.42578125" style="1" customWidth="1"/>
    <col min="11928" max="11928" width="6" style="1" customWidth="1"/>
    <col min="11929" max="11929" width="9.5703125" style="1" customWidth="1"/>
    <col min="11930" max="11930" width="15.140625" style="1" customWidth="1"/>
    <col min="11931" max="11931" width="16.85546875" style="1" customWidth="1"/>
    <col min="11932" max="11932" width="12" style="1" customWidth="1"/>
    <col min="11933" max="11933" width="3.85546875" style="1" customWidth="1"/>
    <col min="11934" max="11934" width="8.85546875" style="1" customWidth="1"/>
    <col min="11935" max="11935" width="11.5703125" style="1" bestFit="1" customWidth="1"/>
    <col min="11936" max="11936" width="16.42578125" style="1" bestFit="1" customWidth="1"/>
    <col min="11937" max="11937" width="8.5703125" style="1" bestFit="1" customWidth="1"/>
    <col min="11938" max="11938" width="17.42578125" style="1" customWidth="1"/>
    <col min="11939" max="12180" width="9.140625" style="1"/>
    <col min="12181" max="12181" width="2.5703125" style="1" customWidth="1"/>
    <col min="12182" max="12182" width="13.7109375" style="1" customWidth="1"/>
    <col min="12183" max="12183" width="62.42578125" style="1" customWidth="1"/>
    <col min="12184" max="12184" width="6" style="1" customWidth="1"/>
    <col min="12185" max="12185" width="9.5703125" style="1" customWidth="1"/>
    <col min="12186" max="12186" width="15.140625" style="1" customWidth="1"/>
    <col min="12187" max="12187" width="16.85546875" style="1" customWidth="1"/>
    <col min="12188" max="12188" width="12" style="1" customWidth="1"/>
    <col min="12189" max="12189" width="3.85546875" style="1" customWidth="1"/>
    <col min="12190" max="12190" width="8.85546875" style="1" customWidth="1"/>
    <col min="12191" max="12191" width="11.5703125" style="1" bestFit="1" customWidth="1"/>
    <col min="12192" max="12192" width="16.42578125" style="1" bestFit="1" customWidth="1"/>
    <col min="12193" max="12193" width="8.5703125" style="1" bestFit="1" customWidth="1"/>
    <col min="12194" max="12194" width="17.42578125" style="1" customWidth="1"/>
    <col min="12195" max="12436" width="9.140625" style="1"/>
    <col min="12437" max="12437" width="2.5703125" style="1" customWidth="1"/>
    <col min="12438" max="12438" width="13.7109375" style="1" customWidth="1"/>
    <col min="12439" max="12439" width="62.42578125" style="1" customWidth="1"/>
    <col min="12440" max="12440" width="6" style="1" customWidth="1"/>
    <col min="12441" max="12441" width="9.5703125" style="1" customWidth="1"/>
    <col min="12442" max="12442" width="15.140625" style="1" customWidth="1"/>
    <col min="12443" max="12443" width="16.85546875" style="1" customWidth="1"/>
    <col min="12444" max="12444" width="12" style="1" customWidth="1"/>
    <col min="12445" max="12445" width="3.85546875" style="1" customWidth="1"/>
    <col min="12446" max="12446" width="8.85546875" style="1" customWidth="1"/>
    <col min="12447" max="12447" width="11.5703125" style="1" bestFit="1" customWidth="1"/>
    <col min="12448" max="12448" width="16.42578125" style="1" bestFit="1" customWidth="1"/>
    <col min="12449" max="12449" width="8.5703125" style="1" bestFit="1" customWidth="1"/>
    <col min="12450" max="12450" width="17.42578125" style="1" customWidth="1"/>
    <col min="12451" max="12692" width="9.140625" style="1"/>
    <col min="12693" max="12693" width="2.5703125" style="1" customWidth="1"/>
    <col min="12694" max="12694" width="13.7109375" style="1" customWidth="1"/>
    <col min="12695" max="12695" width="62.42578125" style="1" customWidth="1"/>
    <col min="12696" max="12696" width="6" style="1" customWidth="1"/>
    <col min="12697" max="12697" width="9.5703125" style="1" customWidth="1"/>
    <col min="12698" max="12698" width="15.140625" style="1" customWidth="1"/>
    <col min="12699" max="12699" width="16.85546875" style="1" customWidth="1"/>
    <col min="12700" max="12700" width="12" style="1" customWidth="1"/>
    <col min="12701" max="12701" width="3.85546875" style="1" customWidth="1"/>
    <col min="12702" max="12702" width="8.85546875" style="1" customWidth="1"/>
    <col min="12703" max="12703" width="11.5703125" style="1" bestFit="1" customWidth="1"/>
    <col min="12704" max="12704" width="16.42578125" style="1" bestFit="1" customWidth="1"/>
    <col min="12705" max="12705" width="8.5703125" style="1" bestFit="1" customWidth="1"/>
    <col min="12706" max="12706" width="17.42578125" style="1" customWidth="1"/>
    <col min="12707" max="12948" width="9.140625" style="1"/>
    <col min="12949" max="12949" width="2.5703125" style="1" customWidth="1"/>
    <col min="12950" max="12950" width="13.7109375" style="1" customWidth="1"/>
    <col min="12951" max="12951" width="62.42578125" style="1" customWidth="1"/>
    <col min="12952" max="12952" width="6" style="1" customWidth="1"/>
    <col min="12953" max="12953" width="9.5703125" style="1" customWidth="1"/>
    <col min="12954" max="12954" width="15.140625" style="1" customWidth="1"/>
    <col min="12955" max="12955" width="16.85546875" style="1" customWidth="1"/>
    <col min="12956" max="12956" width="12" style="1" customWidth="1"/>
    <col min="12957" max="12957" width="3.85546875" style="1" customWidth="1"/>
    <col min="12958" max="12958" width="8.85546875" style="1" customWidth="1"/>
    <col min="12959" max="12959" width="11.5703125" style="1" bestFit="1" customWidth="1"/>
    <col min="12960" max="12960" width="16.42578125" style="1" bestFit="1" customWidth="1"/>
    <col min="12961" max="12961" width="8.5703125" style="1" bestFit="1" customWidth="1"/>
    <col min="12962" max="12962" width="17.42578125" style="1" customWidth="1"/>
    <col min="12963" max="13204" width="9.140625" style="1"/>
    <col min="13205" max="13205" width="2.5703125" style="1" customWidth="1"/>
    <col min="13206" max="13206" width="13.7109375" style="1" customWidth="1"/>
    <col min="13207" max="13207" width="62.42578125" style="1" customWidth="1"/>
    <col min="13208" max="13208" width="6" style="1" customWidth="1"/>
    <col min="13209" max="13209" width="9.5703125" style="1" customWidth="1"/>
    <col min="13210" max="13210" width="15.140625" style="1" customWidth="1"/>
    <col min="13211" max="13211" width="16.85546875" style="1" customWidth="1"/>
    <col min="13212" max="13212" width="12" style="1" customWidth="1"/>
    <col min="13213" max="13213" width="3.85546875" style="1" customWidth="1"/>
    <col min="13214" max="13214" width="8.85546875" style="1" customWidth="1"/>
    <col min="13215" max="13215" width="11.5703125" style="1" bestFit="1" customWidth="1"/>
    <col min="13216" max="13216" width="16.42578125" style="1" bestFit="1" customWidth="1"/>
    <col min="13217" max="13217" width="8.5703125" style="1" bestFit="1" customWidth="1"/>
    <col min="13218" max="13218" width="17.42578125" style="1" customWidth="1"/>
    <col min="13219" max="13460" width="9.140625" style="1"/>
    <col min="13461" max="13461" width="2.5703125" style="1" customWidth="1"/>
    <col min="13462" max="13462" width="13.7109375" style="1" customWidth="1"/>
    <col min="13463" max="13463" width="62.42578125" style="1" customWidth="1"/>
    <col min="13464" max="13464" width="6" style="1" customWidth="1"/>
    <col min="13465" max="13465" width="9.5703125" style="1" customWidth="1"/>
    <col min="13466" max="13466" width="15.140625" style="1" customWidth="1"/>
    <col min="13467" max="13467" width="16.85546875" style="1" customWidth="1"/>
    <col min="13468" max="13468" width="12" style="1" customWidth="1"/>
    <col min="13469" max="13469" width="3.85546875" style="1" customWidth="1"/>
    <col min="13470" max="13470" width="8.85546875" style="1" customWidth="1"/>
    <col min="13471" max="13471" width="11.5703125" style="1" bestFit="1" customWidth="1"/>
    <col min="13472" max="13472" width="16.42578125" style="1" bestFit="1" customWidth="1"/>
    <col min="13473" max="13473" width="8.5703125" style="1" bestFit="1" customWidth="1"/>
    <col min="13474" max="13474" width="17.42578125" style="1" customWidth="1"/>
    <col min="13475" max="13716" width="9.140625" style="1"/>
    <col min="13717" max="13717" width="2.5703125" style="1" customWidth="1"/>
    <col min="13718" max="13718" width="13.7109375" style="1" customWidth="1"/>
    <col min="13719" max="13719" width="62.42578125" style="1" customWidth="1"/>
    <col min="13720" max="13720" width="6" style="1" customWidth="1"/>
    <col min="13721" max="13721" width="9.5703125" style="1" customWidth="1"/>
    <col min="13722" max="13722" width="15.140625" style="1" customWidth="1"/>
    <col min="13723" max="13723" width="16.85546875" style="1" customWidth="1"/>
    <col min="13724" max="13724" width="12" style="1" customWidth="1"/>
    <col min="13725" max="13725" width="3.85546875" style="1" customWidth="1"/>
    <col min="13726" max="13726" width="8.85546875" style="1" customWidth="1"/>
    <col min="13727" max="13727" width="11.5703125" style="1" bestFit="1" customWidth="1"/>
    <col min="13728" max="13728" width="16.42578125" style="1" bestFit="1" customWidth="1"/>
    <col min="13729" max="13729" width="8.5703125" style="1" bestFit="1" customWidth="1"/>
    <col min="13730" max="13730" width="17.42578125" style="1" customWidth="1"/>
    <col min="13731" max="13972" width="9.140625" style="1"/>
    <col min="13973" max="13973" width="2.5703125" style="1" customWidth="1"/>
    <col min="13974" max="13974" width="13.7109375" style="1" customWidth="1"/>
    <col min="13975" max="13975" width="62.42578125" style="1" customWidth="1"/>
    <col min="13976" max="13976" width="6" style="1" customWidth="1"/>
    <col min="13977" max="13977" width="9.5703125" style="1" customWidth="1"/>
    <col min="13978" max="13978" width="15.140625" style="1" customWidth="1"/>
    <col min="13979" max="13979" width="16.85546875" style="1" customWidth="1"/>
    <col min="13980" max="13980" width="12" style="1" customWidth="1"/>
    <col min="13981" max="13981" width="3.85546875" style="1" customWidth="1"/>
    <col min="13982" max="13982" width="8.85546875" style="1" customWidth="1"/>
    <col min="13983" max="13983" width="11.5703125" style="1" bestFit="1" customWidth="1"/>
    <col min="13984" max="13984" width="16.42578125" style="1" bestFit="1" customWidth="1"/>
    <col min="13985" max="13985" width="8.5703125" style="1" bestFit="1" customWidth="1"/>
    <col min="13986" max="13986" width="17.42578125" style="1" customWidth="1"/>
    <col min="13987" max="14228" width="9.140625" style="1"/>
    <col min="14229" max="14229" width="2.5703125" style="1" customWidth="1"/>
    <col min="14230" max="14230" width="13.7109375" style="1" customWidth="1"/>
    <col min="14231" max="14231" width="62.42578125" style="1" customWidth="1"/>
    <col min="14232" max="14232" width="6" style="1" customWidth="1"/>
    <col min="14233" max="14233" width="9.5703125" style="1" customWidth="1"/>
    <col min="14234" max="14234" width="15.140625" style="1" customWidth="1"/>
    <col min="14235" max="14235" width="16.85546875" style="1" customWidth="1"/>
    <col min="14236" max="14236" width="12" style="1" customWidth="1"/>
    <col min="14237" max="14237" width="3.85546875" style="1" customWidth="1"/>
    <col min="14238" max="14238" width="8.85546875" style="1" customWidth="1"/>
    <col min="14239" max="14239" width="11.5703125" style="1" bestFit="1" customWidth="1"/>
    <col min="14240" max="14240" width="16.42578125" style="1" bestFit="1" customWidth="1"/>
    <col min="14241" max="14241" width="8.5703125" style="1" bestFit="1" customWidth="1"/>
    <col min="14242" max="14242" width="17.42578125" style="1" customWidth="1"/>
    <col min="14243" max="14484" width="9.140625" style="1"/>
    <col min="14485" max="14485" width="2.5703125" style="1" customWidth="1"/>
    <col min="14486" max="14486" width="13.7109375" style="1" customWidth="1"/>
    <col min="14487" max="14487" width="62.42578125" style="1" customWidth="1"/>
    <col min="14488" max="14488" width="6" style="1" customWidth="1"/>
    <col min="14489" max="14489" width="9.5703125" style="1" customWidth="1"/>
    <col min="14490" max="14490" width="15.140625" style="1" customWidth="1"/>
    <col min="14491" max="14491" width="16.85546875" style="1" customWidth="1"/>
    <col min="14492" max="14492" width="12" style="1" customWidth="1"/>
    <col min="14493" max="14493" width="3.85546875" style="1" customWidth="1"/>
    <col min="14494" max="14494" width="8.85546875" style="1" customWidth="1"/>
    <col min="14495" max="14495" width="11.5703125" style="1" bestFit="1" customWidth="1"/>
    <col min="14496" max="14496" width="16.42578125" style="1" bestFit="1" customWidth="1"/>
    <col min="14497" max="14497" width="8.5703125" style="1" bestFit="1" customWidth="1"/>
    <col min="14498" max="14498" width="17.42578125" style="1" customWidth="1"/>
    <col min="14499" max="14740" width="9.140625" style="1"/>
    <col min="14741" max="14741" width="2.5703125" style="1" customWidth="1"/>
    <col min="14742" max="14742" width="13.7109375" style="1" customWidth="1"/>
    <col min="14743" max="14743" width="62.42578125" style="1" customWidth="1"/>
    <col min="14744" max="14744" width="6" style="1" customWidth="1"/>
    <col min="14745" max="14745" width="9.5703125" style="1" customWidth="1"/>
    <col min="14746" max="14746" width="15.140625" style="1" customWidth="1"/>
    <col min="14747" max="14747" width="16.85546875" style="1" customWidth="1"/>
    <col min="14748" max="14748" width="12" style="1" customWidth="1"/>
    <col min="14749" max="14749" width="3.85546875" style="1" customWidth="1"/>
    <col min="14750" max="14750" width="8.85546875" style="1" customWidth="1"/>
    <col min="14751" max="14751" width="11.5703125" style="1" bestFit="1" customWidth="1"/>
    <col min="14752" max="14752" width="16.42578125" style="1" bestFit="1" customWidth="1"/>
    <col min="14753" max="14753" width="8.5703125" style="1" bestFit="1" customWidth="1"/>
    <col min="14754" max="14754" width="17.42578125" style="1" customWidth="1"/>
    <col min="14755" max="14996" width="9.140625" style="1"/>
    <col min="14997" max="14997" width="2.5703125" style="1" customWidth="1"/>
    <col min="14998" max="14998" width="13.7109375" style="1" customWidth="1"/>
    <col min="14999" max="14999" width="62.42578125" style="1" customWidth="1"/>
    <col min="15000" max="15000" width="6" style="1" customWidth="1"/>
    <col min="15001" max="15001" width="9.5703125" style="1" customWidth="1"/>
    <col min="15002" max="15002" width="15.140625" style="1" customWidth="1"/>
    <col min="15003" max="15003" width="16.85546875" style="1" customWidth="1"/>
    <col min="15004" max="15004" width="12" style="1" customWidth="1"/>
    <col min="15005" max="15005" width="3.85546875" style="1" customWidth="1"/>
    <col min="15006" max="15006" width="8.85546875" style="1" customWidth="1"/>
    <col min="15007" max="15007" width="11.5703125" style="1" bestFit="1" customWidth="1"/>
    <col min="15008" max="15008" width="16.42578125" style="1" bestFit="1" customWidth="1"/>
    <col min="15009" max="15009" width="8.5703125" style="1" bestFit="1" customWidth="1"/>
    <col min="15010" max="15010" width="17.42578125" style="1" customWidth="1"/>
    <col min="15011" max="15252" width="9.140625" style="1"/>
    <col min="15253" max="15253" width="2.5703125" style="1" customWidth="1"/>
    <col min="15254" max="15254" width="13.7109375" style="1" customWidth="1"/>
    <col min="15255" max="15255" width="62.42578125" style="1" customWidth="1"/>
    <col min="15256" max="15256" width="6" style="1" customWidth="1"/>
    <col min="15257" max="15257" width="9.5703125" style="1" customWidth="1"/>
    <col min="15258" max="15258" width="15.140625" style="1" customWidth="1"/>
    <col min="15259" max="15259" width="16.85546875" style="1" customWidth="1"/>
    <col min="15260" max="15260" width="12" style="1" customWidth="1"/>
    <col min="15261" max="15261" width="3.85546875" style="1" customWidth="1"/>
    <col min="15262" max="15262" width="8.85546875" style="1" customWidth="1"/>
    <col min="15263" max="15263" width="11.5703125" style="1" bestFit="1" customWidth="1"/>
    <col min="15264" max="15264" width="16.42578125" style="1" bestFit="1" customWidth="1"/>
    <col min="15265" max="15265" width="8.5703125" style="1" bestFit="1" customWidth="1"/>
    <col min="15266" max="15266" width="17.42578125" style="1" customWidth="1"/>
    <col min="15267" max="15508" width="9.140625" style="1"/>
    <col min="15509" max="15509" width="2.5703125" style="1" customWidth="1"/>
    <col min="15510" max="15510" width="13.7109375" style="1" customWidth="1"/>
    <col min="15511" max="15511" width="62.42578125" style="1" customWidth="1"/>
    <col min="15512" max="15512" width="6" style="1" customWidth="1"/>
    <col min="15513" max="15513" width="9.5703125" style="1" customWidth="1"/>
    <col min="15514" max="15514" width="15.140625" style="1" customWidth="1"/>
    <col min="15515" max="15515" width="16.85546875" style="1" customWidth="1"/>
    <col min="15516" max="15516" width="12" style="1" customWidth="1"/>
    <col min="15517" max="15517" width="3.85546875" style="1" customWidth="1"/>
    <col min="15518" max="15518" width="8.85546875" style="1" customWidth="1"/>
    <col min="15519" max="15519" width="11.5703125" style="1" bestFit="1" customWidth="1"/>
    <col min="15520" max="15520" width="16.42578125" style="1" bestFit="1" customWidth="1"/>
    <col min="15521" max="15521" width="8.5703125" style="1" bestFit="1" customWidth="1"/>
    <col min="15522" max="15522" width="17.42578125" style="1" customWidth="1"/>
    <col min="15523" max="15764" width="9.140625" style="1"/>
    <col min="15765" max="15765" width="2.5703125" style="1" customWidth="1"/>
    <col min="15766" max="15766" width="13.7109375" style="1" customWidth="1"/>
    <col min="15767" max="15767" width="62.42578125" style="1" customWidth="1"/>
    <col min="15768" max="15768" width="6" style="1" customWidth="1"/>
    <col min="15769" max="15769" width="9.5703125" style="1" customWidth="1"/>
    <col min="15770" max="15770" width="15.140625" style="1" customWidth="1"/>
    <col min="15771" max="15771" width="16.85546875" style="1" customWidth="1"/>
    <col min="15772" max="15772" width="12" style="1" customWidth="1"/>
    <col min="15773" max="15773" width="3.85546875" style="1" customWidth="1"/>
    <col min="15774" max="15774" width="8.85546875" style="1" customWidth="1"/>
    <col min="15775" max="15775" width="11.5703125" style="1" bestFit="1" customWidth="1"/>
    <col min="15776" max="15776" width="16.42578125" style="1" bestFit="1" customWidth="1"/>
    <col min="15777" max="15777" width="8.5703125" style="1" bestFit="1" customWidth="1"/>
    <col min="15778" max="15778" width="17.42578125" style="1" customWidth="1"/>
    <col min="15779" max="16020" width="9.140625" style="1"/>
    <col min="16021" max="16021" width="2.5703125" style="1" customWidth="1"/>
    <col min="16022" max="16022" width="13.7109375" style="1" customWidth="1"/>
    <col min="16023" max="16023" width="62.42578125" style="1" customWidth="1"/>
    <col min="16024" max="16024" width="6" style="1" customWidth="1"/>
    <col min="16025" max="16025" width="9.5703125" style="1" customWidth="1"/>
    <col min="16026" max="16026" width="15.140625" style="1" customWidth="1"/>
    <col min="16027" max="16027" width="16.85546875" style="1" customWidth="1"/>
    <col min="16028" max="16028" width="12" style="1" customWidth="1"/>
    <col min="16029" max="16029" width="3.85546875" style="1" customWidth="1"/>
    <col min="16030" max="16030" width="8.85546875" style="1" customWidth="1"/>
    <col min="16031" max="16031" width="11.5703125" style="1" bestFit="1" customWidth="1"/>
    <col min="16032" max="16032" width="16.42578125" style="1" bestFit="1" customWidth="1"/>
    <col min="16033" max="16033" width="8.5703125" style="1" bestFit="1" customWidth="1"/>
    <col min="16034" max="16034" width="17.42578125" style="1" customWidth="1"/>
    <col min="16035" max="16261" width="9.140625" style="1"/>
    <col min="16262" max="16342" width="9.140625" style="1" customWidth="1"/>
    <col min="16343" max="16384" width="9.140625" style="1"/>
  </cols>
  <sheetData>
    <row r="1" spans="1:11" s="2" customFormat="1" ht="46.15" customHeight="1">
      <c r="B1" s="178"/>
      <c r="C1" s="178"/>
      <c r="D1" s="178"/>
      <c r="E1" s="178"/>
      <c r="F1" s="178"/>
      <c r="G1" s="178"/>
      <c r="K1" s="89"/>
    </row>
    <row r="2" spans="1:11" s="2" customFormat="1">
      <c r="B2" s="179" t="s">
        <v>15</v>
      </c>
      <c r="C2" s="179"/>
      <c r="D2" s="179"/>
      <c r="E2" s="179"/>
      <c r="F2" s="179"/>
      <c r="G2" s="179"/>
      <c r="K2" s="99"/>
    </row>
    <row r="3" spans="1:11" s="5" customFormat="1" ht="15">
      <c r="B3" s="181"/>
      <c r="C3" s="181"/>
      <c r="D3" s="181"/>
      <c r="E3" s="181"/>
      <c r="F3" s="181"/>
      <c r="G3" s="181"/>
      <c r="K3" s="91"/>
    </row>
    <row r="4" spans="1:11" s="5" customFormat="1" ht="15">
      <c r="B4" s="183" t="s">
        <v>1</v>
      </c>
      <c r="C4" s="183"/>
      <c r="D4" s="183"/>
      <c r="E4" s="183"/>
      <c r="F4" s="183"/>
      <c r="G4" s="183"/>
      <c r="K4" s="91"/>
    </row>
    <row r="5" spans="1:11" s="5" customFormat="1" ht="15">
      <c r="B5" s="65" t="s">
        <v>2</v>
      </c>
      <c r="C5" s="184" t="s">
        <v>2642</v>
      </c>
      <c r="D5" s="184"/>
      <c r="E5" s="184"/>
      <c r="F5" s="184"/>
      <c r="G5" s="184"/>
      <c r="K5" s="91"/>
    </row>
    <row r="6" spans="1:11" s="5" customFormat="1" ht="15">
      <c r="B6" s="65" t="s">
        <v>4</v>
      </c>
      <c r="C6" s="184" t="s">
        <v>5</v>
      </c>
      <c r="D6" s="184"/>
      <c r="E6" s="184"/>
      <c r="F6" s="184"/>
      <c r="G6" s="184"/>
      <c r="K6" s="91"/>
    </row>
    <row r="7" spans="1:11" s="5" customFormat="1" ht="18">
      <c r="B7" s="66"/>
      <c r="C7" s="154"/>
      <c r="D7" s="36"/>
      <c r="E7" s="117"/>
      <c r="F7" s="34"/>
      <c r="G7" s="34"/>
      <c r="K7" s="91"/>
    </row>
    <row r="8" spans="1:11" s="3" customFormat="1" ht="12">
      <c r="B8" s="67" t="s">
        <v>6</v>
      </c>
      <c r="C8" s="162" t="s">
        <v>7</v>
      </c>
      <c r="D8" s="40" t="s">
        <v>17</v>
      </c>
      <c r="E8" s="118" t="s">
        <v>18</v>
      </c>
      <c r="F8" s="40" t="s">
        <v>20</v>
      </c>
      <c r="G8" s="41" t="s">
        <v>21</v>
      </c>
      <c r="K8" s="92"/>
    </row>
    <row r="9" spans="1:11" s="3" customFormat="1" ht="12">
      <c r="B9" s="68"/>
      <c r="C9" s="7"/>
      <c r="D9" s="8"/>
      <c r="E9" s="119"/>
      <c r="F9" s="4"/>
      <c r="G9" s="4"/>
      <c r="K9" s="92"/>
    </row>
    <row r="10" spans="1:11" s="38" customFormat="1" ht="15">
      <c r="B10" s="80"/>
      <c r="C10" s="77"/>
      <c r="D10" s="47"/>
      <c r="E10" s="120"/>
      <c r="F10" s="81"/>
      <c r="G10" s="82"/>
      <c r="K10" s="93"/>
    </row>
    <row r="11" spans="1:11" s="38" customFormat="1">
      <c r="B11" s="70" t="s">
        <v>19</v>
      </c>
      <c r="C11" s="52"/>
      <c r="D11" s="53"/>
      <c r="E11" s="123"/>
      <c r="F11" s="54">
        <v>0</v>
      </c>
      <c r="G11" s="54">
        <v>0</v>
      </c>
      <c r="K11" s="93"/>
    </row>
    <row r="12" spans="1:11" s="38" customFormat="1" ht="38.25">
      <c r="A12" s="9"/>
      <c r="B12" s="84" t="s">
        <v>22</v>
      </c>
      <c r="C12" s="83" t="s">
        <v>23</v>
      </c>
      <c r="D12" s="47"/>
      <c r="E12" s="120"/>
      <c r="F12" s="81"/>
      <c r="G12" s="82"/>
      <c r="K12" s="93"/>
    </row>
    <row r="13" spans="1:11" s="38" customFormat="1" ht="102">
      <c r="B13" s="84" t="s">
        <v>24</v>
      </c>
      <c r="C13" s="83" t="s">
        <v>25</v>
      </c>
      <c r="D13" s="47"/>
      <c r="E13" s="120"/>
      <c r="F13" s="81"/>
      <c r="G13" s="82"/>
      <c r="K13" s="93"/>
    </row>
    <row r="14" spans="1:11" s="38" customFormat="1" ht="51">
      <c r="B14" s="84" t="s">
        <v>26</v>
      </c>
      <c r="C14" s="83" t="s">
        <v>27</v>
      </c>
      <c r="D14" s="47"/>
      <c r="E14" s="120"/>
      <c r="F14" s="81"/>
      <c r="G14" s="82"/>
      <c r="K14" s="93"/>
    </row>
    <row r="15" spans="1:11" s="38" customFormat="1" ht="25.5">
      <c r="B15" s="84" t="s">
        <v>28</v>
      </c>
      <c r="C15" s="83" t="s">
        <v>29</v>
      </c>
      <c r="D15" s="47"/>
      <c r="E15" s="120"/>
      <c r="F15" s="81"/>
      <c r="G15" s="82"/>
      <c r="K15" s="93"/>
    </row>
    <row r="16" spans="1:11" s="38" customFormat="1" ht="25.5">
      <c r="B16" s="84" t="s">
        <v>30</v>
      </c>
      <c r="C16" s="83" t="s">
        <v>31</v>
      </c>
      <c r="D16" s="47"/>
      <c r="E16" s="120"/>
      <c r="F16" s="81"/>
      <c r="G16" s="82"/>
      <c r="K16" s="93"/>
    </row>
    <row r="17" spans="2:11" s="38" customFormat="1" ht="15">
      <c r="B17" s="69"/>
      <c r="C17" s="46"/>
      <c r="D17" s="47"/>
      <c r="E17" s="121"/>
      <c r="F17" s="13"/>
      <c r="G17" s="37"/>
      <c r="K17" s="93"/>
    </row>
    <row r="18" spans="2:11" s="38" customFormat="1">
      <c r="B18" s="70" t="s">
        <v>9</v>
      </c>
      <c r="C18" s="52" t="s">
        <v>10</v>
      </c>
      <c r="D18" s="53"/>
      <c r="E18" s="123"/>
      <c r="F18" s="54">
        <v>0</v>
      </c>
      <c r="G18" s="58">
        <f>G22+SUM(G20:G30)</f>
        <v>0</v>
      </c>
      <c r="K18" s="93"/>
    </row>
    <row r="19" spans="2:11" s="38" customFormat="1">
      <c r="B19" s="116"/>
      <c r="C19" s="55"/>
      <c r="D19" s="56"/>
      <c r="E19" s="124"/>
      <c r="F19" s="13"/>
      <c r="G19" s="113"/>
      <c r="K19" s="93"/>
    </row>
    <row r="20" spans="2:11" s="38" customFormat="1">
      <c r="B20" s="71" t="s">
        <v>32</v>
      </c>
      <c r="C20" s="71" t="s">
        <v>33</v>
      </c>
      <c r="D20" s="56"/>
      <c r="E20" s="124"/>
      <c r="F20" s="13"/>
      <c r="G20" s="113"/>
      <c r="K20" s="93"/>
    </row>
    <row r="21" spans="2:11" s="38" customFormat="1">
      <c r="B21" s="50" t="s">
        <v>34</v>
      </c>
      <c r="C21" s="50" t="s">
        <v>35</v>
      </c>
      <c r="D21" s="56"/>
      <c r="E21" s="124"/>
      <c r="F21" s="13"/>
      <c r="G21" s="113"/>
      <c r="K21" s="93"/>
    </row>
    <row r="22" spans="2:11" s="38" customFormat="1" ht="153" outlineLevel="1">
      <c r="B22" s="50" t="s">
        <v>36</v>
      </c>
      <c r="C22" s="50" t="s">
        <v>37</v>
      </c>
      <c r="D22" s="51" t="s">
        <v>38</v>
      </c>
      <c r="E22" s="112">
        <v>1</v>
      </c>
      <c r="F22" s="57"/>
      <c r="G22" s="57">
        <f>E22*F22</f>
        <v>0</v>
      </c>
      <c r="K22" s="93"/>
    </row>
    <row r="23" spans="2:11" s="38" customFormat="1" outlineLevel="1">
      <c r="B23" s="71" t="s">
        <v>39</v>
      </c>
      <c r="C23" s="71" t="s">
        <v>40</v>
      </c>
      <c r="D23" s="51"/>
      <c r="E23" s="112"/>
      <c r="F23" s="57"/>
      <c r="G23" s="57">
        <f t="shared" ref="G23:G30" si="0">E23*F23</f>
        <v>0</v>
      </c>
      <c r="K23" s="93"/>
    </row>
    <row r="24" spans="2:11" s="38" customFormat="1" ht="165.75" outlineLevel="1">
      <c r="B24" s="50" t="s">
        <v>41</v>
      </c>
      <c r="C24" s="50" t="s">
        <v>42</v>
      </c>
      <c r="D24" s="51" t="s">
        <v>38</v>
      </c>
      <c r="E24" s="112">
        <v>1</v>
      </c>
      <c r="F24" s="57"/>
      <c r="G24" s="57">
        <f t="shared" si="0"/>
        <v>0</v>
      </c>
      <c r="K24" s="93"/>
    </row>
    <row r="25" spans="2:11" s="38" customFormat="1" outlineLevel="1">
      <c r="B25" s="71" t="s">
        <v>43</v>
      </c>
      <c r="C25" s="71" t="s">
        <v>44</v>
      </c>
      <c r="D25" s="51"/>
      <c r="E25" s="112"/>
      <c r="F25" s="57"/>
      <c r="G25" s="57">
        <f t="shared" si="0"/>
        <v>0</v>
      </c>
      <c r="K25" s="93"/>
    </row>
    <row r="26" spans="2:11" s="38" customFormat="1" ht="63.75" outlineLevel="1">
      <c r="B26" s="50" t="s">
        <v>45</v>
      </c>
      <c r="C26" s="50" t="s">
        <v>46</v>
      </c>
      <c r="D26" s="51" t="s">
        <v>38</v>
      </c>
      <c r="E26" s="112">
        <v>1</v>
      </c>
      <c r="F26" s="57"/>
      <c r="G26" s="57">
        <f t="shared" si="0"/>
        <v>0</v>
      </c>
      <c r="K26" s="93"/>
    </row>
    <row r="27" spans="2:11" s="38" customFormat="1" outlineLevel="1">
      <c r="B27" s="71" t="s">
        <v>47</v>
      </c>
      <c r="C27" s="71" t="s">
        <v>48</v>
      </c>
      <c r="D27" s="51"/>
      <c r="E27" s="112"/>
      <c r="F27" s="57"/>
      <c r="G27" s="57">
        <f t="shared" si="0"/>
        <v>0</v>
      </c>
      <c r="K27" s="93"/>
    </row>
    <row r="28" spans="2:11" s="38" customFormat="1" ht="38.25" outlineLevel="1">
      <c r="B28" s="50" t="s">
        <v>49</v>
      </c>
      <c r="C28" s="50" t="s">
        <v>50</v>
      </c>
      <c r="D28" s="51" t="s">
        <v>38</v>
      </c>
      <c r="E28" s="112">
        <v>1</v>
      </c>
      <c r="F28" s="57"/>
      <c r="G28" s="57">
        <f t="shared" si="0"/>
        <v>0</v>
      </c>
      <c r="K28" s="93"/>
    </row>
    <row r="29" spans="2:11" s="38" customFormat="1" ht="114.75" outlineLevel="1">
      <c r="B29" s="50" t="s">
        <v>51</v>
      </c>
      <c r="C29" s="50" t="s">
        <v>52</v>
      </c>
      <c r="D29" s="51" t="s">
        <v>38</v>
      </c>
      <c r="E29" s="112">
        <v>1</v>
      </c>
      <c r="F29" s="57"/>
      <c r="G29" s="57">
        <f t="shared" si="0"/>
        <v>0</v>
      </c>
      <c r="K29" s="93"/>
    </row>
    <row r="30" spans="2:11" s="38" customFormat="1" ht="102" outlineLevel="1">
      <c r="B30" s="50" t="s">
        <v>53</v>
      </c>
      <c r="C30" s="50" t="s">
        <v>54</v>
      </c>
      <c r="D30" s="51" t="s">
        <v>38</v>
      </c>
      <c r="E30" s="112">
        <v>1</v>
      </c>
      <c r="F30" s="57"/>
      <c r="G30" s="57">
        <f t="shared" si="0"/>
        <v>0</v>
      </c>
      <c r="K30" s="93"/>
    </row>
    <row r="31" spans="2:11" s="38" customFormat="1" outlineLevel="1">
      <c r="B31" s="50"/>
      <c r="C31" s="50"/>
      <c r="D31" s="51"/>
      <c r="E31" s="112"/>
      <c r="F31" s="57"/>
      <c r="G31" s="57"/>
      <c r="K31" s="93"/>
    </row>
    <row r="32" spans="2:11" s="38" customFormat="1">
      <c r="B32" s="72" t="s">
        <v>11</v>
      </c>
      <c r="C32" s="70" t="s">
        <v>55</v>
      </c>
      <c r="D32" s="49"/>
      <c r="E32" s="123">
        <v>0</v>
      </c>
      <c r="F32" s="54">
        <v>0</v>
      </c>
      <c r="G32" s="58">
        <f>SUM(G33:G35)</f>
        <v>0</v>
      </c>
      <c r="K32" s="93"/>
    </row>
    <row r="33" spans="2:11" s="38" customFormat="1" ht="89.25" outlineLevel="1">
      <c r="B33" s="50">
        <v>2.1</v>
      </c>
      <c r="C33" s="50" t="s">
        <v>56</v>
      </c>
      <c r="D33" s="51" t="s">
        <v>38</v>
      </c>
      <c r="E33" s="112">
        <v>1</v>
      </c>
      <c r="F33" s="57"/>
      <c r="G33" s="57">
        <f>E33*F33</f>
        <v>0</v>
      </c>
      <c r="K33" s="93"/>
    </row>
    <row r="34" spans="2:11" s="38" customFormat="1" ht="25.5" outlineLevel="1">
      <c r="B34" s="50">
        <v>2.2000000000000002</v>
      </c>
      <c r="C34" s="50" t="s">
        <v>57</v>
      </c>
      <c r="D34" s="51" t="s">
        <v>38</v>
      </c>
      <c r="E34" s="112">
        <v>1</v>
      </c>
      <c r="F34" s="57"/>
      <c r="G34" s="57">
        <f t="shared" ref="G34:G35" si="1">E34*F34</f>
        <v>0</v>
      </c>
      <c r="K34" s="93"/>
    </row>
    <row r="35" spans="2:11" s="38" customFormat="1" ht="63.75" outlineLevel="1">
      <c r="B35" s="50">
        <v>2.2999999999999998</v>
      </c>
      <c r="C35" s="50" t="s">
        <v>58</v>
      </c>
      <c r="D35" s="51" t="s">
        <v>38</v>
      </c>
      <c r="E35" s="112">
        <v>1</v>
      </c>
      <c r="F35" s="57"/>
      <c r="G35" s="57">
        <f t="shared" si="1"/>
        <v>0</v>
      </c>
      <c r="K35" s="93"/>
    </row>
    <row r="36" spans="2:11" s="38" customFormat="1" outlineLevel="1">
      <c r="B36" s="71"/>
      <c r="C36" s="50"/>
      <c r="D36" s="51"/>
      <c r="E36" s="112"/>
      <c r="F36" s="57"/>
      <c r="G36" s="57"/>
      <c r="K36" s="93"/>
    </row>
    <row r="37" spans="2:11" s="38" customFormat="1">
      <c r="B37" s="72" t="s">
        <v>13</v>
      </c>
      <c r="C37" s="70" t="s">
        <v>12</v>
      </c>
      <c r="D37" s="49"/>
      <c r="E37" s="123">
        <v>0</v>
      </c>
      <c r="F37" s="54">
        <v>0</v>
      </c>
      <c r="G37" s="58"/>
      <c r="K37" s="93"/>
    </row>
    <row r="38" spans="2:11" s="38" customFormat="1">
      <c r="B38" s="72">
        <v>3.1</v>
      </c>
      <c r="C38" s="70" t="s">
        <v>59</v>
      </c>
      <c r="D38" s="49"/>
      <c r="E38" s="123">
        <v>0</v>
      </c>
      <c r="F38" s="54">
        <v>0</v>
      </c>
      <c r="G38" s="58"/>
      <c r="K38" s="93"/>
    </row>
    <row r="39" spans="2:11" s="38" customFormat="1">
      <c r="B39" s="116"/>
      <c r="C39" s="116"/>
      <c r="D39" s="56"/>
      <c r="E39" s="124"/>
      <c r="F39" s="13"/>
      <c r="G39" s="113"/>
      <c r="K39" s="93"/>
    </row>
    <row r="40" spans="2:11" s="38" customFormat="1" ht="38.25">
      <c r="B40" s="116"/>
      <c r="C40" s="50" t="s">
        <v>60</v>
      </c>
      <c r="D40" s="56"/>
      <c r="E40" s="124"/>
      <c r="F40" s="13"/>
      <c r="G40" s="59">
        <f t="shared" ref="G40:G103" si="2">E40*F40</f>
        <v>0</v>
      </c>
      <c r="K40" s="93"/>
    </row>
    <row r="41" spans="2:11" s="38" customFormat="1">
      <c r="B41" s="116"/>
      <c r="C41" s="116"/>
      <c r="D41" s="56"/>
      <c r="E41" s="124"/>
      <c r="F41" s="13"/>
      <c r="G41" s="59">
        <f t="shared" si="2"/>
        <v>0</v>
      </c>
      <c r="K41" s="93"/>
    </row>
    <row r="42" spans="2:11" s="38" customFormat="1">
      <c r="B42" s="71" t="s">
        <v>61</v>
      </c>
      <c r="C42" s="55" t="s">
        <v>62</v>
      </c>
      <c r="D42" s="56"/>
      <c r="E42" s="124">
        <v>0</v>
      </c>
      <c r="F42" s="13">
        <v>0</v>
      </c>
      <c r="G42" s="59">
        <f t="shared" si="2"/>
        <v>0</v>
      </c>
      <c r="K42" s="93"/>
    </row>
    <row r="43" spans="2:11" s="38" customFormat="1" ht="198.75" customHeight="1" outlineLevel="1">
      <c r="B43" s="71" t="s">
        <v>63</v>
      </c>
      <c r="C43" s="50" t="s">
        <v>64</v>
      </c>
      <c r="D43" s="51" t="s">
        <v>38</v>
      </c>
      <c r="E43" s="112">
        <v>1</v>
      </c>
      <c r="F43" s="4"/>
      <c r="G43" s="59">
        <f>E43*F43</f>
        <v>0</v>
      </c>
      <c r="K43" s="93"/>
    </row>
    <row r="44" spans="2:11" s="38" customFormat="1" outlineLevel="1">
      <c r="B44" s="71"/>
      <c r="C44" s="50"/>
      <c r="D44" s="51"/>
      <c r="E44" s="112"/>
      <c r="F44" s="4"/>
      <c r="G44" s="59">
        <f t="shared" si="2"/>
        <v>0</v>
      </c>
      <c r="K44" s="93"/>
    </row>
    <row r="45" spans="2:11" s="38" customFormat="1">
      <c r="B45" s="71" t="s">
        <v>65</v>
      </c>
      <c r="C45" s="55" t="s">
        <v>66</v>
      </c>
      <c r="D45" s="56"/>
      <c r="E45" s="124">
        <v>0</v>
      </c>
      <c r="F45" s="13"/>
      <c r="G45" s="59">
        <f t="shared" si="2"/>
        <v>0</v>
      </c>
      <c r="K45" s="93"/>
    </row>
    <row r="46" spans="2:11" s="38" customFormat="1" ht="38.25" outlineLevel="1">
      <c r="B46" s="71" t="s">
        <v>67</v>
      </c>
      <c r="C46" s="50" t="s">
        <v>68</v>
      </c>
      <c r="D46" s="51" t="s">
        <v>38</v>
      </c>
      <c r="E46" s="112">
        <v>1</v>
      </c>
      <c r="F46" s="4"/>
      <c r="G46" s="59">
        <f t="shared" si="2"/>
        <v>0</v>
      </c>
      <c r="K46" s="100"/>
    </row>
    <row r="47" spans="2:11" s="38" customFormat="1" ht="51" outlineLevel="1">
      <c r="B47" s="71" t="s">
        <v>69</v>
      </c>
      <c r="C47" s="50" t="s">
        <v>70</v>
      </c>
      <c r="D47" s="51" t="s">
        <v>38</v>
      </c>
      <c r="E47" s="112">
        <v>1</v>
      </c>
      <c r="F47" s="4"/>
      <c r="G47" s="59">
        <f t="shared" si="2"/>
        <v>0</v>
      </c>
      <c r="K47" s="100"/>
    </row>
    <row r="48" spans="2:11" s="38" customFormat="1">
      <c r="B48" s="71" t="s">
        <v>71</v>
      </c>
      <c r="C48" s="55" t="s">
        <v>72</v>
      </c>
      <c r="D48" s="56"/>
      <c r="E48" s="124">
        <v>0</v>
      </c>
      <c r="F48" s="4">
        <v>0</v>
      </c>
      <c r="G48" s="59">
        <f t="shared" si="2"/>
        <v>0</v>
      </c>
      <c r="K48" s="93"/>
    </row>
    <row r="49" spans="2:11" s="38" customFormat="1" ht="124.5" customHeight="1" outlineLevel="1">
      <c r="B49" s="71" t="s">
        <v>73</v>
      </c>
      <c r="C49" s="50" t="s">
        <v>74</v>
      </c>
      <c r="D49" s="51" t="s">
        <v>75</v>
      </c>
      <c r="E49" s="112">
        <v>18.239999999999998</v>
      </c>
      <c r="F49" s="4"/>
      <c r="G49" s="59">
        <f t="shared" si="2"/>
        <v>0</v>
      </c>
      <c r="K49" s="93"/>
    </row>
    <row r="50" spans="2:11" s="38" customFormat="1" ht="76.5" outlineLevel="1">
      <c r="B50" s="71" t="s">
        <v>76</v>
      </c>
      <c r="C50" s="50" t="s">
        <v>77</v>
      </c>
      <c r="D50" s="51" t="s">
        <v>75</v>
      </c>
      <c r="E50" s="112">
        <v>14.54</v>
      </c>
      <c r="F50" s="4"/>
      <c r="G50" s="59">
        <f t="shared" si="2"/>
        <v>0</v>
      </c>
      <c r="K50" s="93"/>
    </row>
    <row r="51" spans="2:11" s="38" customFormat="1" ht="78" customHeight="1" outlineLevel="1">
      <c r="B51" s="71" t="s">
        <v>78</v>
      </c>
      <c r="C51" s="50" t="s">
        <v>79</v>
      </c>
      <c r="D51" s="51" t="s">
        <v>75</v>
      </c>
      <c r="E51" s="112">
        <v>22.8</v>
      </c>
      <c r="F51" s="57"/>
      <c r="G51" s="59">
        <f t="shared" si="2"/>
        <v>0</v>
      </c>
      <c r="K51" s="93"/>
    </row>
    <row r="52" spans="2:11" s="38" customFormat="1" ht="102" outlineLevel="1">
      <c r="B52" s="71" t="s">
        <v>80</v>
      </c>
      <c r="C52" s="50" t="s">
        <v>81</v>
      </c>
      <c r="D52" s="51" t="s">
        <v>75</v>
      </c>
      <c r="E52" s="112">
        <v>2.91</v>
      </c>
      <c r="F52" s="4"/>
      <c r="G52" s="59">
        <f t="shared" si="2"/>
        <v>0</v>
      </c>
      <c r="K52" s="93"/>
    </row>
    <row r="53" spans="2:11" s="38" customFormat="1" ht="63.75" outlineLevel="1">
      <c r="B53" s="71" t="s">
        <v>82</v>
      </c>
      <c r="C53" s="50" t="s">
        <v>83</v>
      </c>
      <c r="D53" s="51" t="s">
        <v>84</v>
      </c>
      <c r="E53" s="112">
        <v>1.8</v>
      </c>
      <c r="F53" s="4"/>
      <c r="G53" s="59">
        <f t="shared" si="2"/>
        <v>0</v>
      </c>
      <c r="K53" s="93"/>
    </row>
    <row r="54" spans="2:11" s="38" customFormat="1" ht="48" customHeight="1" outlineLevel="1">
      <c r="B54" s="71" t="s">
        <v>85</v>
      </c>
      <c r="C54" s="50" t="s">
        <v>86</v>
      </c>
      <c r="D54" s="51" t="s">
        <v>84</v>
      </c>
      <c r="E54" s="112">
        <v>9.82</v>
      </c>
      <c r="F54" s="4"/>
      <c r="G54" s="59">
        <f t="shared" si="2"/>
        <v>0</v>
      </c>
      <c r="K54" s="93"/>
    </row>
    <row r="55" spans="2:11" s="38" customFormat="1" ht="46.5" customHeight="1" outlineLevel="1">
      <c r="B55" s="71" t="s">
        <v>87</v>
      </c>
      <c r="C55" s="50" t="s">
        <v>88</v>
      </c>
      <c r="D55" s="51" t="s">
        <v>84</v>
      </c>
      <c r="E55" s="112">
        <v>5.29</v>
      </c>
      <c r="F55" s="4"/>
      <c r="G55" s="59">
        <f t="shared" si="2"/>
        <v>0</v>
      </c>
      <c r="K55" s="93"/>
    </row>
    <row r="56" spans="2:11" s="38" customFormat="1" ht="114.75" outlineLevel="1">
      <c r="B56" s="71" t="s">
        <v>89</v>
      </c>
      <c r="C56" s="50" t="s">
        <v>90</v>
      </c>
      <c r="D56" s="51" t="s">
        <v>91</v>
      </c>
      <c r="E56" s="112">
        <v>1</v>
      </c>
      <c r="F56" s="4"/>
      <c r="G56" s="59">
        <f t="shared" si="2"/>
        <v>0</v>
      </c>
      <c r="K56" s="93"/>
    </row>
    <row r="57" spans="2:11" s="38" customFormat="1" outlineLevel="1">
      <c r="B57" s="71"/>
      <c r="C57" s="50"/>
      <c r="D57" s="51"/>
      <c r="E57" s="112"/>
      <c r="F57" s="4"/>
      <c r="G57" s="59">
        <f t="shared" si="2"/>
        <v>0</v>
      </c>
      <c r="K57" s="93"/>
    </row>
    <row r="58" spans="2:11" s="38" customFormat="1">
      <c r="B58" s="71" t="s">
        <v>92</v>
      </c>
      <c r="C58" s="55" t="s">
        <v>93</v>
      </c>
      <c r="D58" s="56"/>
      <c r="E58" s="124">
        <v>0</v>
      </c>
      <c r="F58" s="4">
        <v>0</v>
      </c>
      <c r="G58" s="59">
        <f t="shared" si="2"/>
        <v>0</v>
      </c>
      <c r="K58" s="93"/>
    </row>
    <row r="59" spans="2:11" s="38" customFormat="1" ht="63.75" outlineLevel="1">
      <c r="B59" s="71" t="s">
        <v>94</v>
      </c>
      <c r="C59" s="50" t="s">
        <v>95</v>
      </c>
      <c r="D59" s="51" t="s">
        <v>75</v>
      </c>
      <c r="E59" s="112">
        <v>1.51</v>
      </c>
      <c r="F59" s="4"/>
      <c r="G59" s="59">
        <f t="shared" si="2"/>
        <v>0</v>
      </c>
      <c r="K59" s="93"/>
    </row>
    <row r="60" spans="2:11" s="38" customFormat="1" ht="63.75" outlineLevel="1">
      <c r="B60" s="71" t="s">
        <v>96</v>
      </c>
      <c r="C60" s="50" t="s">
        <v>97</v>
      </c>
      <c r="D60" s="51" t="s">
        <v>75</v>
      </c>
      <c r="E60" s="112">
        <v>4.54</v>
      </c>
      <c r="F60" s="4"/>
      <c r="G60" s="59">
        <f t="shared" si="2"/>
        <v>0</v>
      </c>
      <c r="K60" s="93"/>
    </row>
    <row r="61" spans="2:11" s="38" customFormat="1" ht="89.25" outlineLevel="1">
      <c r="B61" s="71" t="s">
        <v>98</v>
      </c>
      <c r="C61" s="50" t="s">
        <v>99</v>
      </c>
      <c r="D61" s="51" t="s">
        <v>75</v>
      </c>
      <c r="E61" s="112">
        <v>48.99</v>
      </c>
      <c r="F61" s="4"/>
      <c r="G61" s="59">
        <f t="shared" si="2"/>
        <v>0</v>
      </c>
      <c r="K61" s="93"/>
    </row>
    <row r="62" spans="2:11" s="38" customFormat="1" ht="127.5" outlineLevel="1">
      <c r="B62" s="71" t="s">
        <v>100</v>
      </c>
      <c r="C62" s="50" t="s">
        <v>101</v>
      </c>
      <c r="D62" s="51" t="s">
        <v>75</v>
      </c>
      <c r="E62" s="112">
        <v>1.29</v>
      </c>
      <c r="F62" s="4"/>
      <c r="G62" s="59">
        <f t="shared" si="2"/>
        <v>0</v>
      </c>
      <c r="K62" s="93"/>
    </row>
    <row r="63" spans="2:11" s="38" customFormat="1" ht="89.25" outlineLevel="1">
      <c r="B63" s="71" t="s">
        <v>102</v>
      </c>
      <c r="C63" s="50" t="s">
        <v>103</v>
      </c>
      <c r="D63" s="115"/>
      <c r="E63" s="112">
        <v>5.89</v>
      </c>
      <c r="G63" s="59">
        <f t="shared" si="2"/>
        <v>0</v>
      </c>
      <c r="K63" s="93"/>
    </row>
    <row r="64" spans="2:11" s="38" customFormat="1" ht="178.5" outlineLevel="1">
      <c r="B64" s="71" t="s">
        <v>104</v>
      </c>
      <c r="C64" s="50" t="s">
        <v>105</v>
      </c>
      <c r="D64" s="51" t="s">
        <v>75</v>
      </c>
      <c r="E64" s="112">
        <v>5.1100000000000003</v>
      </c>
      <c r="F64" s="4"/>
      <c r="G64" s="59">
        <f t="shared" si="2"/>
        <v>0</v>
      </c>
      <c r="K64" s="93"/>
    </row>
    <row r="65" spans="2:11" s="38" customFormat="1" ht="178.5" outlineLevel="1">
      <c r="B65" s="71" t="s">
        <v>106</v>
      </c>
      <c r="C65" s="50" t="s">
        <v>2614</v>
      </c>
      <c r="D65" s="51" t="s">
        <v>75</v>
      </c>
      <c r="E65" s="112">
        <v>11.69</v>
      </c>
      <c r="F65" s="4"/>
      <c r="G65" s="59">
        <f t="shared" si="2"/>
        <v>0</v>
      </c>
      <c r="K65" s="93"/>
    </row>
    <row r="66" spans="2:11" s="38" customFormat="1" ht="178.5" outlineLevel="1">
      <c r="B66" s="71" t="s">
        <v>107</v>
      </c>
      <c r="C66" s="97" t="s">
        <v>2615</v>
      </c>
      <c r="D66" s="51" t="s">
        <v>75</v>
      </c>
      <c r="E66" s="112">
        <v>2.94</v>
      </c>
      <c r="F66" s="4"/>
      <c r="G66" s="59">
        <f t="shared" si="2"/>
        <v>0</v>
      </c>
      <c r="K66" s="93"/>
    </row>
    <row r="67" spans="2:11" s="38" customFormat="1" ht="161.25" customHeight="1" outlineLevel="1">
      <c r="B67" s="71" t="s">
        <v>108</v>
      </c>
      <c r="C67" s="50" t="s">
        <v>109</v>
      </c>
      <c r="D67" s="51" t="s">
        <v>75</v>
      </c>
      <c r="E67" s="112">
        <v>3.21</v>
      </c>
      <c r="F67" s="4"/>
      <c r="G67" s="59">
        <f t="shared" si="2"/>
        <v>0</v>
      </c>
      <c r="K67" s="93"/>
    </row>
    <row r="68" spans="2:11" s="38" customFormat="1" ht="89.25" outlineLevel="1">
      <c r="B68" s="71" t="s">
        <v>110</v>
      </c>
      <c r="C68" s="50" t="s">
        <v>111</v>
      </c>
      <c r="D68" s="51" t="s">
        <v>75</v>
      </c>
      <c r="E68" s="112">
        <v>25.28</v>
      </c>
      <c r="F68" s="4"/>
      <c r="G68" s="59">
        <f t="shared" si="2"/>
        <v>0</v>
      </c>
      <c r="K68" s="93"/>
    </row>
    <row r="69" spans="2:11" s="38" customFormat="1" ht="89.25" outlineLevel="1">
      <c r="B69" s="71" t="s">
        <v>112</v>
      </c>
      <c r="C69" s="50" t="s">
        <v>113</v>
      </c>
      <c r="D69" s="51" t="s">
        <v>75</v>
      </c>
      <c r="E69" s="112">
        <v>11.28</v>
      </c>
      <c r="F69" s="4"/>
      <c r="G69" s="59">
        <f t="shared" si="2"/>
        <v>0</v>
      </c>
      <c r="K69" s="93"/>
    </row>
    <row r="70" spans="2:11" s="38" customFormat="1" ht="89.25" outlineLevel="1">
      <c r="B70" s="71" t="s">
        <v>114</v>
      </c>
      <c r="C70" s="50" t="s">
        <v>115</v>
      </c>
      <c r="D70" s="51" t="s">
        <v>75</v>
      </c>
      <c r="E70" s="112">
        <v>5.89</v>
      </c>
      <c r="F70" s="4"/>
      <c r="G70" s="59">
        <f t="shared" si="2"/>
        <v>0</v>
      </c>
      <c r="K70" s="93"/>
    </row>
    <row r="71" spans="2:11" s="38" customFormat="1" ht="89.25" outlineLevel="1">
      <c r="B71" s="71" t="s">
        <v>116</v>
      </c>
      <c r="C71" s="50" t="s">
        <v>117</v>
      </c>
      <c r="D71" s="51" t="s">
        <v>84</v>
      </c>
      <c r="E71" s="112">
        <v>9.52</v>
      </c>
      <c r="F71" s="4"/>
      <c r="G71" s="59">
        <f t="shared" si="2"/>
        <v>0</v>
      </c>
      <c r="K71" s="93"/>
    </row>
    <row r="72" spans="2:11" s="38" customFormat="1" ht="89.25" outlineLevel="1">
      <c r="B72" s="71" t="s">
        <v>118</v>
      </c>
      <c r="C72" s="50" t="s">
        <v>119</v>
      </c>
      <c r="D72" s="51" t="s">
        <v>84</v>
      </c>
      <c r="E72" s="112">
        <v>2.75</v>
      </c>
      <c r="F72" s="4"/>
      <c r="G72" s="59">
        <f t="shared" si="2"/>
        <v>0</v>
      </c>
      <c r="K72" s="93"/>
    </row>
    <row r="73" spans="2:11" s="38" customFormat="1" ht="89.25" outlineLevel="1">
      <c r="B73" s="71" t="s">
        <v>120</v>
      </c>
      <c r="C73" s="50" t="s">
        <v>121</v>
      </c>
      <c r="D73" s="51" t="s">
        <v>84</v>
      </c>
      <c r="E73" s="112">
        <v>5.5</v>
      </c>
      <c r="F73" s="4"/>
      <c r="G73" s="59">
        <f t="shared" si="2"/>
        <v>0</v>
      </c>
      <c r="K73" s="93"/>
    </row>
    <row r="74" spans="2:11" s="38" customFormat="1" outlineLevel="1">
      <c r="B74" s="71"/>
      <c r="C74" s="50"/>
      <c r="D74" s="51"/>
      <c r="E74" s="112"/>
      <c r="F74" s="4"/>
      <c r="G74" s="59">
        <f t="shared" si="2"/>
        <v>0</v>
      </c>
      <c r="K74" s="93"/>
    </row>
    <row r="75" spans="2:11" s="38" customFormat="1">
      <c r="B75" s="71" t="s">
        <v>122</v>
      </c>
      <c r="C75" s="55" t="s">
        <v>123</v>
      </c>
      <c r="D75" s="56"/>
      <c r="E75" s="124">
        <v>0</v>
      </c>
      <c r="F75" s="4"/>
      <c r="G75" s="59">
        <f t="shared" si="2"/>
        <v>0</v>
      </c>
      <c r="K75" s="93"/>
    </row>
    <row r="76" spans="2:11" s="38" customFormat="1" ht="140.25" outlineLevel="1">
      <c r="B76" s="71" t="s">
        <v>124</v>
      </c>
      <c r="C76" s="50" t="s">
        <v>125</v>
      </c>
      <c r="D76" s="51" t="s">
        <v>75</v>
      </c>
      <c r="E76" s="112">
        <v>3.68</v>
      </c>
      <c r="F76" s="4"/>
      <c r="G76" s="59">
        <f t="shared" si="2"/>
        <v>0</v>
      </c>
      <c r="K76" s="93"/>
    </row>
    <row r="77" spans="2:11" s="38" customFormat="1" ht="178.5" outlineLevel="1">
      <c r="B77" s="71" t="s">
        <v>126</v>
      </c>
      <c r="C77" s="155" t="s">
        <v>127</v>
      </c>
      <c r="D77" s="51" t="s">
        <v>75</v>
      </c>
      <c r="E77" s="112">
        <v>4.47</v>
      </c>
      <c r="F77" s="4"/>
      <c r="G77" s="59">
        <f t="shared" si="2"/>
        <v>0</v>
      </c>
      <c r="K77" s="93"/>
    </row>
    <row r="78" spans="2:11" s="38" customFormat="1" ht="127.5" outlineLevel="1">
      <c r="B78" s="71" t="s">
        <v>128</v>
      </c>
      <c r="C78" s="50" t="s">
        <v>129</v>
      </c>
      <c r="D78" s="51" t="s">
        <v>84</v>
      </c>
      <c r="E78" s="112">
        <v>4.75</v>
      </c>
      <c r="F78" s="4"/>
      <c r="G78" s="59">
        <f t="shared" si="2"/>
        <v>0</v>
      </c>
      <c r="K78" s="93"/>
    </row>
    <row r="79" spans="2:11" s="38" customFormat="1" ht="89.25" outlineLevel="1">
      <c r="B79" s="71" t="s">
        <v>130</v>
      </c>
      <c r="C79" s="50" t="s">
        <v>131</v>
      </c>
      <c r="D79" s="51" t="s">
        <v>75</v>
      </c>
      <c r="E79" s="112">
        <v>6.7</v>
      </c>
      <c r="F79" s="4"/>
      <c r="G79" s="59">
        <f t="shared" si="2"/>
        <v>0</v>
      </c>
      <c r="K79" s="93"/>
    </row>
    <row r="80" spans="2:11" s="38" customFormat="1" ht="89.25" outlineLevel="1">
      <c r="B80" s="71" t="s">
        <v>132</v>
      </c>
      <c r="C80" s="50" t="s">
        <v>133</v>
      </c>
      <c r="D80" s="51" t="s">
        <v>75</v>
      </c>
      <c r="E80" s="112">
        <v>3.68</v>
      </c>
      <c r="F80" s="4"/>
      <c r="G80" s="59">
        <f t="shared" si="2"/>
        <v>0</v>
      </c>
      <c r="K80" s="93"/>
    </row>
    <row r="81" spans="2:11" s="38" customFormat="1" ht="89.25" outlineLevel="1">
      <c r="B81" s="71" t="s">
        <v>134</v>
      </c>
      <c r="C81" s="50" t="s">
        <v>135</v>
      </c>
      <c r="D81" s="51" t="s">
        <v>75</v>
      </c>
      <c r="E81" s="112">
        <v>4.47</v>
      </c>
      <c r="F81" s="4"/>
      <c r="G81" s="59">
        <f t="shared" si="2"/>
        <v>0</v>
      </c>
      <c r="K81" s="93"/>
    </row>
    <row r="82" spans="2:11" s="38" customFormat="1" ht="89.25" outlineLevel="1">
      <c r="B82" s="71" t="s">
        <v>136</v>
      </c>
      <c r="C82" s="50" t="s">
        <v>2619</v>
      </c>
      <c r="D82" s="51" t="s">
        <v>75</v>
      </c>
      <c r="E82" s="112">
        <v>7.0220000000000002</v>
      </c>
      <c r="F82" s="4"/>
      <c r="G82" s="59">
        <f t="shared" si="2"/>
        <v>0</v>
      </c>
      <c r="K82" s="93"/>
    </row>
    <row r="83" spans="2:11" s="38" customFormat="1" ht="51" outlineLevel="1">
      <c r="B83" s="71" t="s">
        <v>138</v>
      </c>
      <c r="C83" s="50" t="s">
        <v>139</v>
      </c>
      <c r="D83" s="51" t="s">
        <v>140</v>
      </c>
      <c r="E83" s="112">
        <v>1</v>
      </c>
      <c r="F83" s="4"/>
      <c r="G83" s="59">
        <f t="shared" si="2"/>
        <v>0</v>
      </c>
      <c r="K83" s="93"/>
    </row>
    <row r="84" spans="2:11" s="38" customFormat="1" ht="76.5" outlineLevel="1">
      <c r="B84" s="71" t="s">
        <v>141</v>
      </c>
      <c r="C84" s="50" t="s">
        <v>142</v>
      </c>
      <c r="D84" s="51" t="s">
        <v>84</v>
      </c>
      <c r="E84" s="112">
        <v>3.4</v>
      </c>
      <c r="F84" s="4"/>
      <c r="G84" s="59">
        <f t="shared" si="2"/>
        <v>0</v>
      </c>
      <c r="K84" s="93"/>
    </row>
    <row r="85" spans="2:11" s="38" customFormat="1" ht="76.5" outlineLevel="1">
      <c r="B85" s="71" t="s">
        <v>143</v>
      </c>
      <c r="C85" s="50" t="s">
        <v>144</v>
      </c>
      <c r="D85" s="51" t="s">
        <v>84</v>
      </c>
      <c r="E85" s="112">
        <v>10.113</v>
      </c>
      <c r="F85" s="4"/>
      <c r="G85" s="59">
        <f t="shared" si="2"/>
        <v>0</v>
      </c>
      <c r="K85" s="93"/>
    </row>
    <row r="86" spans="2:11" s="38" customFormat="1" outlineLevel="1">
      <c r="B86" s="71"/>
      <c r="C86" s="50"/>
      <c r="D86" s="51"/>
      <c r="E86" s="112"/>
      <c r="F86" s="4"/>
      <c r="G86" s="59">
        <f t="shared" si="2"/>
        <v>0</v>
      </c>
      <c r="K86" s="93"/>
    </row>
    <row r="87" spans="2:11" s="38" customFormat="1">
      <c r="B87" s="71" t="s">
        <v>145</v>
      </c>
      <c r="C87" s="55" t="s">
        <v>146</v>
      </c>
      <c r="D87" s="56"/>
      <c r="E87" s="124">
        <v>0</v>
      </c>
      <c r="F87" s="4"/>
      <c r="G87" s="59">
        <f t="shared" si="2"/>
        <v>0</v>
      </c>
      <c r="K87" s="93"/>
    </row>
    <row r="88" spans="2:11" s="38" customFormat="1" ht="216.75" outlineLevel="1">
      <c r="B88" s="71" t="s">
        <v>147</v>
      </c>
      <c r="C88" s="97" t="s">
        <v>2637</v>
      </c>
      <c r="D88" s="51" t="s">
        <v>140</v>
      </c>
      <c r="E88" s="112">
        <v>1</v>
      </c>
      <c r="F88" s="4"/>
      <c r="G88" s="59">
        <f t="shared" si="2"/>
        <v>0</v>
      </c>
      <c r="K88" s="93"/>
    </row>
    <row r="89" spans="2:11" s="38" customFormat="1" ht="165.75" outlineLevel="1">
      <c r="B89" s="71" t="s">
        <v>148</v>
      </c>
      <c r="C89" s="97" t="s">
        <v>149</v>
      </c>
      <c r="D89" s="51" t="s">
        <v>140</v>
      </c>
      <c r="E89" s="112">
        <v>1</v>
      </c>
      <c r="F89" s="4"/>
      <c r="G89" s="59">
        <f t="shared" si="2"/>
        <v>0</v>
      </c>
      <c r="K89" s="93"/>
    </row>
    <row r="90" spans="2:11" s="38" customFormat="1" outlineLevel="1">
      <c r="B90" s="71"/>
      <c r="C90" s="50"/>
      <c r="D90" s="51"/>
      <c r="E90" s="112"/>
      <c r="F90" s="4"/>
      <c r="G90" s="59">
        <f t="shared" si="2"/>
        <v>0</v>
      </c>
      <c r="K90" s="93"/>
    </row>
    <row r="91" spans="2:11" s="38" customFormat="1">
      <c r="B91" s="71" t="s">
        <v>150</v>
      </c>
      <c r="C91" s="55" t="s">
        <v>151</v>
      </c>
      <c r="D91" s="56"/>
      <c r="E91" s="124">
        <v>0</v>
      </c>
      <c r="F91" s="4"/>
      <c r="G91" s="59">
        <f t="shared" si="2"/>
        <v>0</v>
      </c>
      <c r="K91" s="93"/>
    </row>
    <row r="92" spans="2:11" s="38" customFormat="1" ht="38.25" outlineLevel="1">
      <c r="B92" s="71" t="s">
        <v>152</v>
      </c>
      <c r="C92" s="50" t="s">
        <v>153</v>
      </c>
      <c r="D92" s="51" t="s">
        <v>140</v>
      </c>
      <c r="E92" s="112">
        <v>1</v>
      </c>
      <c r="F92" s="13"/>
      <c r="G92" s="59">
        <f t="shared" si="2"/>
        <v>0</v>
      </c>
      <c r="K92" s="93"/>
    </row>
    <row r="93" spans="2:11" s="38" customFormat="1" ht="51" outlineLevel="1">
      <c r="B93" s="71" t="s">
        <v>154</v>
      </c>
      <c r="C93" s="50" t="s">
        <v>155</v>
      </c>
      <c r="D93" s="51" t="s">
        <v>140</v>
      </c>
      <c r="E93" s="112">
        <v>1</v>
      </c>
      <c r="F93" s="13"/>
      <c r="G93" s="59">
        <f t="shared" si="2"/>
        <v>0</v>
      </c>
      <c r="K93" s="93"/>
    </row>
    <row r="94" spans="2:11" s="38" customFormat="1" outlineLevel="1">
      <c r="B94" s="71"/>
      <c r="C94" s="50"/>
      <c r="D94" s="51"/>
      <c r="E94" s="112"/>
      <c r="F94" s="13"/>
      <c r="G94" s="59">
        <f t="shared" si="2"/>
        <v>0</v>
      </c>
      <c r="K94" s="93"/>
    </row>
    <row r="95" spans="2:11" s="38" customFormat="1">
      <c r="B95" s="71" t="s">
        <v>156</v>
      </c>
      <c r="C95" s="55" t="s">
        <v>157</v>
      </c>
      <c r="D95" s="56"/>
      <c r="E95" s="124">
        <v>0</v>
      </c>
      <c r="F95" s="4">
        <v>0</v>
      </c>
      <c r="G95" s="59">
        <f t="shared" si="2"/>
        <v>0</v>
      </c>
      <c r="K95" s="93"/>
    </row>
    <row r="96" spans="2:11" s="38" customFormat="1" ht="51" outlineLevel="1">
      <c r="B96" s="98"/>
      <c r="C96" s="50" t="s">
        <v>158</v>
      </c>
      <c r="D96" s="51"/>
      <c r="E96" s="112"/>
      <c r="F96" s="4"/>
      <c r="G96" s="59">
        <f t="shared" si="2"/>
        <v>0</v>
      </c>
      <c r="K96" s="93"/>
    </row>
    <row r="97" spans="2:11" s="38" customFormat="1" ht="51" outlineLevel="1">
      <c r="B97" s="71" t="s">
        <v>159</v>
      </c>
      <c r="C97" s="50" t="s">
        <v>2620</v>
      </c>
      <c r="D97" s="51" t="s">
        <v>140</v>
      </c>
      <c r="E97" s="112">
        <v>1</v>
      </c>
      <c r="F97" s="4"/>
      <c r="G97" s="59">
        <f t="shared" si="2"/>
        <v>0</v>
      </c>
      <c r="K97" s="100"/>
    </row>
    <row r="98" spans="2:11" s="38" customFormat="1" ht="38.25" outlineLevel="1">
      <c r="B98" s="71" t="s">
        <v>161</v>
      </c>
      <c r="C98" s="50" t="s">
        <v>162</v>
      </c>
      <c r="D98" s="51" t="s">
        <v>140</v>
      </c>
      <c r="E98" s="112">
        <v>1</v>
      </c>
      <c r="F98" s="4"/>
      <c r="G98" s="59">
        <f t="shared" si="2"/>
        <v>0</v>
      </c>
      <c r="K98" s="100"/>
    </row>
    <row r="99" spans="2:11" s="38" customFormat="1" ht="51" outlineLevel="1">
      <c r="B99" s="71" t="s">
        <v>163</v>
      </c>
      <c r="C99" s="50" t="s">
        <v>164</v>
      </c>
      <c r="D99" s="51" t="s">
        <v>140</v>
      </c>
      <c r="E99" s="112">
        <v>1</v>
      </c>
      <c r="F99" s="4"/>
      <c r="G99" s="59">
        <f t="shared" si="2"/>
        <v>0</v>
      </c>
      <c r="K99" s="100"/>
    </row>
    <row r="100" spans="2:11" s="38" customFormat="1" ht="140.25" outlineLevel="1">
      <c r="B100" s="71" t="s">
        <v>165</v>
      </c>
      <c r="C100" s="50" t="s">
        <v>166</v>
      </c>
      <c r="D100" s="51" t="s">
        <v>140</v>
      </c>
      <c r="E100" s="112">
        <v>1</v>
      </c>
      <c r="F100" s="4"/>
      <c r="G100" s="59">
        <f t="shared" si="2"/>
        <v>0</v>
      </c>
      <c r="K100" s="100"/>
    </row>
    <row r="101" spans="2:11" s="38" customFormat="1" ht="89.25" outlineLevel="1">
      <c r="B101" s="71" t="s">
        <v>167</v>
      </c>
      <c r="C101" s="50" t="s">
        <v>168</v>
      </c>
      <c r="D101" s="51" t="s">
        <v>140</v>
      </c>
      <c r="E101" s="112">
        <v>1</v>
      </c>
      <c r="F101" s="4"/>
      <c r="G101" s="59">
        <f t="shared" si="2"/>
        <v>0</v>
      </c>
      <c r="K101" s="100"/>
    </row>
    <row r="102" spans="2:11" s="38" customFormat="1" ht="51" outlineLevel="1">
      <c r="B102" s="71" t="s">
        <v>169</v>
      </c>
      <c r="C102" s="50" t="s">
        <v>170</v>
      </c>
      <c r="D102" s="51" t="s">
        <v>140</v>
      </c>
      <c r="E102" s="112">
        <v>1</v>
      </c>
      <c r="F102" s="4"/>
      <c r="G102" s="59">
        <f t="shared" si="2"/>
        <v>0</v>
      </c>
      <c r="K102" s="100"/>
    </row>
    <row r="103" spans="2:11" s="38" customFormat="1" ht="38.25" outlineLevel="1">
      <c r="B103" s="71" t="s">
        <v>171</v>
      </c>
      <c r="C103" s="50" t="s">
        <v>172</v>
      </c>
      <c r="D103" s="51" t="s">
        <v>140</v>
      </c>
      <c r="E103" s="112">
        <v>1</v>
      </c>
      <c r="F103" s="4"/>
      <c r="G103" s="59">
        <f t="shared" si="2"/>
        <v>0</v>
      </c>
      <c r="K103" s="100"/>
    </row>
    <row r="104" spans="2:11" s="38" customFormat="1" ht="51" outlineLevel="1">
      <c r="B104" s="71" t="s">
        <v>173</v>
      </c>
      <c r="C104" s="50" t="s">
        <v>174</v>
      </c>
      <c r="D104" s="51" t="s">
        <v>140</v>
      </c>
      <c r="E104" s="112">
        <v>1</v>
      </c>
      <c r="F104" s="4"/>
      <c r="G104" s="59">
        <f t="shared" ref="G104:G120" si="3">E104*F104</f>
        <v>0</v>
      </c>
      <c r="K104" s="100"/>
    </row>
    <row r="105" spans="2:11" s="38" customFormat="1" ht="51" outlineLevel="1">
      <c r="B105" s="71" t="s">
        <v>175</v>
      </c>
      <c r="C105" s="50" t="s">
        <v>2638</v>
      </c>
      <c r="D105" s="51" t="s">
        <v>140</v>
      </c>
      <c r="E105" s="112">
        <v>1</v>
      </c>
      <c r="F105" s="4"/>
      <c r="G105" s="59">
        <f t="shared" si="3"/>
        <v>0</v>
      </c>
      <c r="K105" s="100"/>
    </row>
    <row r="106" spans="2:11" s="38" customFormat="1" ht="51" outlineLevel="1">
      <c r="B106" s="71" t="s">
        <v>176</v>
      </c>
      <c r="C106" s="50" t="s">
        <v>177</v>
      </c>
      <c r="D106" s="51" t="s">
        <v>140</v>
      </c>
      <c r="E106" s="112">
        <v>1</v>
      </c>
      <c r="F106" s="4"/>
      <c r="G106" s="59">
        <f t="shared" si="3"/>
        <v>0</v>
      </c>
      <c r="K106" s="100"/>
    </row>
    <row r="107" spans="2:11" s="38" customFormat="1" ht="63.75" outlineLevel="1">
      <c r="B107" s="71" t="s">
        <v>178</v>
      </c>
      <c r="C107" s="50" t="s">
        <v>179</v>
      </c>
      <c r="D107" s="51" t="s">
        <v>140</v>
      </c>
      <c r="E107" s="112">
        <v>1</v>
      </c>
      <c r="F107" s="4"/>
      <c r="G107" s="59">
        <f t="shared" si="3"/>
        <v>0</v>
      </c>
      <c r="K107" s="100"/>
    </row>
    <row r="108" spans="2:11" s="38" customFormat="1" ht="51" outlineLevel="1">
      <c r="B108" s="71" t="s">
        <v>180</v>
      </c>
      <c r="C108" s="50" t="s">
        <v>181</v>
      </c>
      <c r="D108" s="51" t="s">
        <v>140</v>
      </c>
      <c r="E108" s="112">
        <v>1</v>
      </c>
      <c r="F108" s="4"/>
      <c r="G108" s="59">
        <f t="shared" si="3"/>
        <v>0</v>
      </c>
      <c r="K108" s="100"/>
    </row>
    <row r="109" spans="2:11" s="38" customFormat="1" ht="25.5" outlineLevel="1">
      <c r="B109" s="71" t="s">
        <v>182</v>
      </c>
      <c r="C109" s="50" t="s">
        <v>183</v>
      </c>
      <c r="D109" s="51" t="s">
        <v>140</v>
      </c>
      <c r="E109" s="112">
        <v>1</v>
      </c>
      <c r="F109" s="4"/>
      <c r="G109" s="59">
        <f t="shared" si="3"/>
        <v>0</v>
      </c>
      <c r="K109" s="100"/>
    </row>
    <row r="110" spans="2:11" s="38" customFormat="1" ht="38.25" outlineLevel="1">
      <c r="B110" s="71" t="s">
        <v>184</v>
      </c>
      <c r="C110" s="50" t="s">
        <v>185</v>
      </c>
      <c r="D110" s="51" t="s">
        <v>140</v>
      </c>
      <c r="E110" s="112">
        <v>2</v>
      </c>
      <c r="F110" s="4">
        <v>0</v>
      </c>
      <c r="G110" s="59">
        <f t="shared" si="3"/>
        <v>0</v>
      </c>
      <c r="K110" s="100"/>
    </row>
    <row r="111" spans="2:11" s="38" customFormat="1" ht="38.25" outlineLevel="1">
      <c r="B111" s="71" t="s">
        <v>186</v>
      </c>
      <c r="C111" s="50" t="s">
        <v>187</v>
      </c>
      <c r="D111" s="51" t="s">
        <v>140</v>
      </c>
      <c r="E111" s="112">
        <v>1</v>
      </c>
      <c r="F111" s="4">
        <v>0</v>
      </c>
      <c r="G111" s="59">
        <f t="shared" si="3"/>
        <v>0</v>
      </c>
      <c r="K111" s="100"/>
    </row>
    <row r="112" spans="2:11" s="38" customFormat="1" ht="38.25" outlineLevel="1">
      <c r="B112" s="71" t="s">
        <v>188</v>
      </c>
      <c r="C112" s="50" t="s">
        <v>189</v>
      </c>
      <c r="D112" s="51" t="s">
        <v>140</v>
      </c>
      <c r="E112" s="112">
        <v>2</v>
      </c>
      <c r="F112" s="4">
        <v>0</v>
      </c>
      <c r="G112" s="59">
        <f t="shared" si="3"/>
        <v>0</v>
      </c>
      <c r="K112" s="100"/>
    </row>
    <row r="113" spans="2:11" s="38" customFormat="1" ht="25.5" outlineLevel="1">
      <c r="B113" s="71" t="s">
        <v>190</v>
      </c>
      <c r="C113" s="50" t="s">
        <v>191</v>
      </c>
      <c r="D113" s="51" t="s">
        <v>140</v>
      </c>
      <c r="E113" s="112">
        <v>1</v>
      </c>
      <c r="F113" s="4">
        <v>0</v>
      </c>
      <c r="G113" s="59">
        <f t="shared" si="3"/>
        <v>0</v>
      </c>
      <c r="K113" s="100"/>
    </row>
    <row r="114" spans="2:11" s="38" customFormat="1" ht="56.25" customHeight="1" outlineLevel="1">
      <c r="B114" s="71" t="s">
        <v>192</v>
      </c>
      <c r="C114" s="50" t="s">
        <v>193</v>
      </c>
      <c r="D114" s="51" t="s">
        <v>140</v>
      </c>
      <c r="E114" s="112">
        <v>1</v>
      </c>
      <c r="F114" s="4"/>
      <c r="G114" s="59">
        <f t="shared" si="3"/>
        <v>0</v>
      </c>
      <c r="K114" s="100"/>
    </row>
    <row r="115" spans="2:11" s="38" customFormat="1" ht="153" outlineLevel="1">
      <c r="B115" s="71" t="s">
        <v>194</v>
      </c>
      <c r="C115" s="50" t="s">
        <v>195</v>
      </c>
      <c r="D115" s="51" t="s">
        <v>140</v>
      </c>
      <c r="E115" s="112">
        <v>1</v>
      </c>
      <c r="F115" s="4">
        <v>0</v>
      </c>
      <c r="G115" s="59">
        <f t="shared" si="3"/>
        <v>0</v>
      </c>
      <c r="K115" s="100"/>
    </row>
    <row r="116" spans="2:11" s="38" customFormat="1" ht="74.25" customHeight="1" outlineLevel="1">
      <c r="B116" s="71" t="s">
        <v>196</v>
      </c>
      <c r="C116" s="50" t="s">
        <v>197</v>
      </c>
      <c r="D116" s="51" t="s">
        <v>140</v>
      </c>
      <c r="E116" s="112">
        <v>1</v>
      </c>
      <c r="F116" s="4"/>
      <c r="G116" s="59">
        <f t="shared" si="3"/>
        <v>0</v>
      </c>
      <c r="K116" s="100"/>
    </row>
    <row r="117" spans="2:11" s="38" customFormat="1" ht="102" outlineLevel="1">
      <c r="B117" s="71" t="s">
        <v>198</v>
      </c>
      <c r="C117" s="50" t="s">
        <v>2624</v>
      </c>
      <c r="D117" s="51" t="s">
        <v>140</v>
      </c>
      <c r="E117" s="112">
        <v>1</v>
      </c>
      <c r="F117" s="4"/>
      <c r="G117" s="59">
        <f t="shared" si="3"/>
        <v>0</v>
      </c>
      <c r="K117" s="93"/>
    </row>
    <row r="118" spans="2:11" s="38" customFormat="1" ht="89.25" outlineLevel="1">
      <c r="B118" s="71" t="s">
        <v>199</v>
      </c>
      <c r="C118" s="50" t="s">
        <v>200</v>
      </c>
      <c r="D118" s="51" t="s">
        <v>140</v>
      </c>
      <c r="E118" s="112">
        <v>1</v>
      </c>
      <c r="F118" s="4"/>
      <c r="G118" s="59">
        <f t="shared" si="3"/>
        <v>0</v>
      </c>
      <c r="K118" s="93"/>
    </row>
    <row r="119" spans="2:11" s="38" customFormat="1" outlineLevel="1">
      <c r="B119" s="71"/>
      <c r="C119" s="50"/>
      <c r="D119" s="51"/>
      <c r="E119" s="112"/>
      <c r="F119" s="4"/>
      <c r="G119" s="59">
        <f t="shared" si="3"/>
        <v>0</v>
      </c>
      <c r="K119" s="93"/>
    </row>
    <row r="120" spans="2:11" s="38" customFormat="1">
      <c r="B120" s="71" t="s">
        <v>201</v>
      </c>
      <c r="C120" s="55" t="s">
        <v>202</v>
      </c>
      <c r="D120" s="56"/>
      <c r="E120" s="124">
        <v>0</v>
      </c>
      <c r="F120" s="4"/>
      <c r="G120" s="59">
        <f t="shared" si="3"/>
        <v>0</v>
      </c>
      <c r="K120" s="100"/>
    </row>
    <row r="121" spans="2:11" s="38" customFormat="1" ht="63.75" outlineLevel="1">
      <c r="B121" s="71" t="s">
        <v>203</v>
      </c>
      <c r="C121" s="50" t="s">
        <v>204</v>
      </c>
      <c r="D121" s="51" t="s">
        <v>84</v>
      </c>
      <c r="E121" s="112">
        <v>2.2999999999999998</v>
      </c>
      <c r="F121" s="4"/>
      <c r="G121" s="59">
        <f>E121*F121</f>
        <v>0</v>
      </c>
      <c r="K121" s="100"/>
    </row>
    <row r="122" spans="2:11" s="38" customFormat="1">
      <c r="B122" s="71"/>
      <c r="C122" s="55"/>
      <c r="D122" s="56"/>
      <c r="E122" s="124"/>
      <c r="F122" s="4"/>
      <c r="G122" s="4"/>
      <c r="K122" s="100"/>
    </row>
    <row r="123" spans="2:11" s="38" customFormat="1">
      <c r="B123" s="72" t="s">
        <v>205</v>
      </c>
      <c r="C123" s="52"/>
      <c r="D123" s="15"/>
      <c r="E123" s="122"/>
      <c r="F123" s="54"/>
      <c r="G123" s="58">
        <f>SUM(G12:G122)</f>
        <v>0</v>
      </c>
      <c r="K123" s="93"/>
    </row>
    <row r="124" spans="2:11" s="38" customFormat="1" outlineLevel="1">
      <c r="B124" s="71"/>
      <c r="C124" s="50"/>
      <c r="D124" s="51"/>
      <c r="E124" s="112"/>
      <c r="F124" s="4"/>
      <c r="G124" s="59"/>
      <c r="K124" s="100"/>
    </row>
    <row r="125" spans="2:11" s="38" customFormat="1">
      <c r="B125" s="114" t="s">
        <v>206</v>
      </c>
      <c r="C125" s="52"/>
      <c r="D125" s="15"/>
      <c r="E125" s="122"/>
      <c r="F125" s="54"/>
      <c r="G125" s="58"/>
      <c r="K125" s="93"/>
    </row>
    <row r="126" spans="2:11" s="38" customFormat="1" ht="38.25">
      <c r="B126" s="116"/>
      <c r="C126" s="55" t="s">
        <v>207</v>
      </c>
      <c r="D126" s="11" t="s">
        <v>140</v>
      </c>
      <c r="E126" s="167">
        <v>44</v>
      </c>
      <c r="F126" s="13"/>
      <c r="G126" s="113">
        <f>E126*G123</f>
        <v>0</v>
      </c>
      <c r="K126" s="93"/>
    </row>
    <row r="127" spans="2:11" s="38" customFormat="1" outlineLevel="1">
      <c r="B127" s="71"/>
      <c r="C127" s="50"/>
      <c r="D127" s="51"/>
      <c r="E127" s="112"/>
      <c r="F127" s="4"/>
      <c r="G127" s="59"/>
      <c r="K127" s="100"/>
    </row>
    <row r="128" spans="2:11" s="38" customFormat="1">
      <c r="B128" s="72">
        <v>3.2</v>
      </c>
      <c r="C128" s="70" t="s">
        <v>208</v>
      </c>
      <c r="D128" s="49"/>
      <c r="E128" s="123">
        <v>0</v>
      </c>
      <c r="F128" s="54">
        <v>0</v>
      </c>
      <c r="G128" s="58"/>
      <c r="K128" s="93"/>
    </row>
    <row r="129" spans="2:11" s="38" customFormat="1">
      <c r="B129" s="116"/>
      <c r="C129" s="55"/>
      <c r="D129" s="56"/>
      <c r="E129" s="124"/>
      <c r="F129" s="13"/>
      <c r="G129" s="113"/>
      <c r="K129" s="93"/>
    </row>
    <row r="130" spans="2:11" s="38" customFormat="1" ht="45" customHeight="1">
      <c r="B130" s="116"/>
      <c r="C130" s="50" t="s">
        <v>60</v>
      </c>
      <c r="D130" s="56"/>
      <c r="E130" s="124"/>
      <c r="F130" s="13"/>
      <c r="G130" s="59">
        <f t="shared" ref="G130:G193" si="4">E130*F130</f>
        <v>0</v>
      </c>
      <c r="K130" s="93"/>
    </row>
    <row r="131" spans="2:11" s="38" customFormat="1">
      <c r="B131" s="116"/>
      <c r="C131" s="55"/>
      <c r="D131" s="56"/>
      <c r="E131" s="124"/>
      <c r="F131" s="13"/>
      <c r="G131" s="59">
        <f t="shared" si="4"/>
        <v>0</v>
      </c>
      <c r="K131" s="93"/>
    </row>
    <row r="132" spans="2:11" s="38" customFormat="1">
      <c r="B132" s="71" t="s">
        <v>209</v>
      </c>
      <c r="C132" s="55" t="s">
        <v>62</v>
      </c>
      <c r="D132" s="56"/>
      <c r="E132" s="124">
        <v>0</v>
      </c>
      <c r="F132" s="13">
        <v>0</v>
      </c>
      <c r="G132" s="59">
        <f t="shared" si="4"/>
        <v>0</v>
      </c>
      <c r="K132" s="93"/>
    </row>
    <row r="133" spans="2:11" s="38" customFormat="1" ht="198" customHeight="1" outlineLevel="1">
      <c r="B133" s="71" t="s">
        <v>210</v>
      </c>
      <c r="C133" s="50" t="s">
        <v>64</v>
      </c>
      <c r="D133" s="51" t="s">
        <v>38</v>
      </c>
      <c r="E133" s="112">
        <v>1</v>
      </c>
      <c r="F133" s="4"/>
      <c r="G133" s="59">
        <f t="shared" si="4"/>
        <v>0</v>
      </c>
      <c r="K133" s="93"/>
    </row>
    <row r="134" spans="2:11" s="38" customFormat="1">
      <c r="B134" s="71" t="s">
        <v>211</v>
      </c>
      <c r="C134" s="55" t="s">
        <v>66</v>
      </c>
      <c r="D134" s="56"/>
      <c r="E134" s="124">
        <v>0</v>
      </c>
      <c r="F134" s="13"/>
      <c r="G134" s="59">
        <f t="shared" si="4"/>
        <v>0</v>
      </c>
      <c r="K134" s="93"/>
    </row>
    <row r="135" spans="2:11" s="38" customFormat="1" ht="38.25" outlineLevel="1">
      <c r="B135" s="71" t="s">
        <v>212</v>
      </c>
      <c r="C135" s="50" t="s">
        <v>68</v>
      </c>
      <c r="D135" s="51" t="s">
        <v>38</v>
      </c>
      <c r="E135" s="112">
        <v>1</v>
      </c>
      <c r="F135" s="4"/>
      <c r="G135" s="59">
        <f t="shared" si="4"/>
        <v>0</v>
      </c>
      <c r="K135" s="100"/>
    </row>
    <row r="136" spans="2:11" s="38" customFormat="1" ht="51" outlineLevel="1">
      <c r="B136" s="71" t="s">
        <v>213</v>
      </c>
      <c r="C136" s="50" t="s">
        <v>70</v>
      </c>
      <c r="D136" s="51" t="s">
        <v>38</v>
      </c>
      <c r="E136" s="112">
        <v>1</v>
      </c>
      <c r="F136" s="4"/>
      <c r="G136" s="59">
        <f t="shared" si="4"/>
        <v>0</v>
      </c>
      <c r="K136" s="100"/>
    </row>
    <row r="137" spans="2:11" s="38" customFormat="1">
      <c r="B137" s="71" t="s">
        <v>214</v>
      </c>
      <c r="C137" s="55" t="s">
        <v>72</v>
      </c>
      <c r="D137" s="56"/>
      <c r="E137" s="124">
        <v>0</v>
      </c>
      <c r="F137" s="4">
        <v>0</v>
      </c>
      <c r="G137" s="59">
        <f t="shared" si="4"/>
        <v>0</v>
      </c>
      <c r="K137" s="93"/>
    </row>
    <row r="138" spans="2:11" s="38" customFormat="1" ht="114.75" outlineLevel="1">
      <c r="B138" s="71" t="s">
        <v>215</v>
      </c>
      <c r="C138" s="50" t="s">
        <v>74</v>
      </c>
      <c r="D138" s="51" t="s">
        <v>75</v>
      </c>
      <c r="E138" s="112">
        <v>25.2</v>
      </c>
      <c r="F138" s="4"/>
      <c r="G138" s="59">
        <f t="shared" si="4"/>
        <v>0</v>
      </c>
      <c r="K138" s="93"/>
    </row>
    <row r="139" spans="2:11" s="38" customFormat="1" ht="76.5" outlineLevel="1">
      <c r="B139" s="71" t="s">
        <v>216</v>
      </c>
      <c r="C139" s="50" t="s">
        <v>77</v>
      </c>
      <c r="D139" s="51" t="s">
        <v>75</v>
      </c>
      <c r="E139" s="112">
        <v>11.65</v>
      </c>
      <c r="F139" s="4"/>
      <c r="G139" s="59">
        <f t="shared" si="4"/>
        <v>0</v>
      </c>
      <c r="K139" s="93"/>
    </row>
    <row r="140" spans="2:11" s="38" customFormat="1" ht="74.25" customHeight="1" outlineLevel="1">
      <c r="B140" s="71" t="s">
        <v>217</v>
      </c>
      <c r="C140" s="50" t="s">
        <v>79</v>
      </c>
      <c r="D140" s="51" t="s">
        <v>75</v>
      </c>
      <c r="E140" s="112">
        <v>28.41</v>
      </c>
      <c r="F140" s="57"/>
      <c r="G140" s="59">
        <f t="shared" si="4"/>
        <v>0</v>
      </c>
      <c r="K140" s="93"/>
    </row>
    <row r="141" spans="2:11" s="38" customFormat="1" ht="102" outlineLevel="1">
      <c r="B141" s="71" t="s">
        <v>218</v>
      </c>
      <c r="C141" s="50" t="s">
        <v>81</v>
      </c>
      <c r="D141" s="51" t="s">
        <v>75</v>
      </c>
      <c r="E141" s="112">
        <v>1.71</v>
      </c>
      <c r="F141" s="4"/>
      <c r="G141" s="59">
        <f t="shared" si="4"/>
        <v>0</v>
      </c>
      <c r="K141" s="93"/>
    </row>
    <row r="142" spans="2:11" s="38" customFormat="1" ht="63.75" outlineLevel="1">
      <c r="B142" s="71" t="s">
        <v>219</v>
      </c>
      <c r="C142" s="50" t="s">
        <v>83</v>
      </c>
      <c r="D142" s="51" t="s">
        <v>84</v>
      </c>
      <c r="E142" s="112">
        <v>1.8</v>
      </c>
      <c r="F142" s="4"/>
      <c r="G142" s="59">
        <f t="shared" si="4"/>
        <v>0</v>
      </c>
      <c r="K142" s="93"/>
    </row>
    <row r="143" spans="2:11" s="38" customFormat="1" ht="38.25" outlineLevel="1">
      <c r="B143" s="71" t="s">
        <v>220</v>
      </c>
      <c r="C143" s="50" t="s">
        <v>221</v>
      </c>
      <c r="D143" s="51" t="s">
        <v>84</v>
      </c>
      <c r="E143" s="112">
        <v>11.8</v>
      </c>
      <c r="F143" s="4"/>
      <c r="G143" s="59">
        <f t="shared" si="4"/>
        <v>0</v>
      </c>
      <c r="K143" s="93"/>
    </row>
    <row r="144" spans="2:11" s="38" customFormat="1" ht="38.25" outlineLevel="1">
      <c r="B144" s="71" t="s">
        <v>222</v>
      </c>
      <c r="C144" s="50" t="s">
        <v>223</v>
      </c>
      <c r="D144" s="51" t="s">
        <v>84</v>
      </c>
      <c r="E144" s="112">
        <v>7.09</v>
      </c>
      <c r="F144" s="4"/>
      <c r="G144" s="59">
        <f t="shared" si="4"/>
        <v>0</v>
      </c>
      <c r="K144" s="93"/>
    </row>
    <row r="145" spans="2:11" s="38" customFormat="1" ht="114.75" outlineLevel="1">
      <c r="B145" s="71" t="s">
        <v>224</v>
      </c>
      <c r="C145" s="50" t="s">
        <v>90</v>
      </c>
      <c r="D145" s="51" t="s">
        <v>91</v>
      </c>
      <c r="E145" s="112">
        <v>1</v>
      </c>
      <c r="F145" s="4"/>
      <c r="G145" s="59">
        <f t="shared" si="4"/>
        <v>0</v>
      </c>
      <c r="K145" s="93"/>
    </row>
    <row r="146" spans="2:11" s="38" customFormat="1">
      <c r="B146" s="71" t="s">
        <v>225</v>
      </c>
      <c r="C146" s="55" t="s">
        <v>93</v>
      </c>
      <c r="D146" s="56"/>
      <c r="E146" s="124">
        <v>0</v>
      </c>
      <c r="F146" s="4">
        <v>0</v>
      </c>
      <c r="G146" s="59">
        <f t="shared" si="4"/>
        <v>0</v>
      </c>
      <c r="K146" s="93"/>
    </row>
    <row r="147" spans="2:11" s="38" customFormat="1" ht="83.25" customHeight="1" outlineLevel="1">
      <c r="B147" s="71" t="s">
        <v>226</v>
      </c>
      <c r="C147" s="50" t="s">
        <v>97</v>
      </c>
      <c r="D147" s="51" t="s">
        <v>75</v>
      </c>
      <c r="E147" s="112">
        <v>4.68</v>
      </c>
      <c r="F147" s="4"/>
      <c r="G147" s="59">
        <f t="shared" si="4"/>
        <v>0</v>
      </c>
      <c r="K147" s="93"/>
    </row>
    <row r="148" spans="2:11" s="38" customFormat="1" ht="89.25" outlineLevel="1">
      <c r="B148" s="71" t="s">
        <v>227</v>
      </c>
      <c r="C148" s="50" t="s">
        <v>99</v>
      </c>
      <c r="D148" s="51" t="s">
        <v>75</v>
      </c>
      <c r="E148" s="112">
        <v>50.76</v>
      </c>
      <c r="F148" s="4"/>
      <c r="G148" s="59">
        <f t="shared" si="4"/>
        <v>0</v>
      </c>
      <c r="K148" s="93"/>
    </row>
    <row r="149" spans="2:11" s="38" customFormat="1" ht="126.75" customHeight="1" outlineLevel="1">
      <c r="B149" s="71" t="s">
        <v>228</v>
      </c>
      <c r="C149" s="50" t="s">
        <v>101</v>
      </c>
      <c r="D149" s="51" t="s">
        <v>75</v>
      </c>
      <c r="E149" s="112">
        <v>1.51</v>
      </c>
      <c r="F149" s="4"/>
      <c r="G149" s="59">
        <f t="shared" si="4"/>
        <v>0</v>
      </c>
      <c r="K149" s="93"/>
    </row>
    <row r="150" spans="2:11" s="38" customFormat="1" ht="89.25" outlineLevel="1">
      <c r="B150" s="71" t="s">
        <v>229</v>
      </c>
      <c r="C150" s="50" t="s">
        <v>103</v>
      </c>
      <c r="D150" s="115"/>
      <c r="E150" s="112">
        <v>7.53</v>
      </c>
      <c r="G150" s="59">
        <f t="shared" si="4"/>
        <v>0</v>
      </c>
      <c r="K150" s="93"/>
    </row>
    <row r="151" spans="2:11" s="38" customFormat="1" ht="92.25" customHeight="1" outlineLevel="1">
      <c r="B151" s="71" t="s">
        <v>230</v>
      </c>
      <c r="C151" s="50" t="s">
        <v>231</v>
      </c>
      <c r="D151" s="51" t="s">
        <v>75</v>
      </c>
      <c r="E151" s="112">
        <v>5.14</v>
      </c>
      <c r="F151" s="4"/>
      <c r="G151" s="59">
        <f t="shared" si="4"/>
        <v>0</v>
      </c>
      <c r="K151" s="93"/>
    </row>
    <row r="152" spans="2:11" s="38" customFormat="1" ht="178.5" outlineLevel="1">
      <c r="B152" s="71" t="s">
        <v>232</v>
      </c>
      <c r="C152" s="50" t="s">
        <v>105</v>
      </c>
      <c r="D152" s="51" t="s">
        <v>75</v>
      </c>
      <c r="E152" s="112">
        <v>6.66</v>
      </c>
      <c r="F152" s="4"/>
      <c r="G152" s="59">
        <f t="shared" si="4"/>
        <v>0</v>
      </c>
      <c r="K152" s="93"/>
    </row>
    <row r="153" spans="2:11" s="38" customFormat="1" ht="153" outlineLevel="1">
      <c r="B153" s="71" t="s">
        <v>233</v>
      </c>
      <c r="C153" s="50" t="s">
        <v>234</v>
      </c>
      <c r="D153" s="51" t="s">
        <v>75</v>
      </c>
      <c r="E153" s="112">
        <v>9.57</v>
      </c>
      <c r="F153" s="136">
        <v>0</v>
      </c>
      <c r="G153" s="59">
        <f>E153*F153</f>
        <v>0</v>
      </c>
      <c r="K153" s="93"/>
    </row>
    <row r="154" spans="2:11" s="38" customFormat="1" ht="165.75" outlineLevel="1">
      <c r="B154" s="71" t="s">
        <v>235</v>
      </c>
      <c r="C154" s="97" t="s">
        <v>2616</v>
      </c>
      <c r="D154" s="51" t="s">
        <v>75</v>
      </c>
      <c r="E154" s="112">
        <v>4.1900000000000004</v>
      </c>
      <c r="F154" s="156"/>
      <c r="G154" s="59">
        <f t="shared" si="4"/>
        <v>0</v>
      </c>
      <c r="K154" s="93"/>
    </row>
    <row r="155" spans="2:11" s="38" customFormat="1" ht="89.25" outlineLevel="1">
      <c r="B155" s="71" t="s">
        <v>236</v>
      </c>
      <c r="C155" s="50" t="s">
        <v>237</v>
      </c>
      <c r="D155" s="51" t="s">
        <v>75</v>
      </c>
      <c r="E155" s="112">
        <v>25.37</v>
      </c>
      <c r="F155" s="4"/>
      <c r="G155" s="59">
        <f t="shared" si="4"/>
        <v>0</v>
      </c>
      <c r="K155" s="93"/>
    </row>
    <row r="156" spans="2:11" s="38" customFormat="1" ht="76.5" outlineLevel="1">
      <c r="B156" s="71" t="s">
        <v>238</v>
      </c>
      <c r="C156" s="50" t="s">
        <v>239</v>
      </c>
      <c r="D156" s="51" t="s">
        <v>75</v>
      </c>
      <c r="E156" s="112">
        <v>18.7</v>
      </c>
      <c r="F156" s="4"/>
      <c r="G156" s="59">
        <f t="shared" si="4"/>
        <v>0</v>
      </c>
      <c r="K156" s="93"/>
    </row>
    <row r="157" spans="2:11" s="38" customFormat="1" ht="89.25" outlineLevel="1">
      <c r="B157" s="71" t="s">
        <v>240</v>
      </c>
      <c r="C157" s="50" t="s">
        <v>115</v>
      </c>
      <c r="D157" s="51" t="s">
        <v>75</v>
      </c>
      <c r="E157" s="112">
        <v>3.57</v>
      </c>
      <c r="F157" s="4"/>
      <c r="G157" s="59">
        <f t="shared" si="4"/>
        <v>0</v>
      </c>
      <c r="K157" s="93"/>
    </row>
    <row r="158" spans="2:11" s="38" customFormat="1" ht="89.25" outlineLevel="1">
      <c r="B158" s="71" t="s">
        <v>241</v>
      </c>
      <c r="C158" s="50" t="s">
        <v>242</v>
      </c>
      <c r="D158" s="51" t="s">
        <v>84</v>
      </c>
      <c r="E158" s="112">
        <v>7.14</v>
      </c>
      <c r="F158" s="4"/>
      <c r="G158" s="59">
        <f t="shared" si="4"/>
        <v>0</v>
      </c>
      <c r="K158" s="93"/>
    </row>
    <row r="159" spans="2:11" s="38" customFormat="1" ht="89.25" outlineLevel="1">
      <c r="B159" s="71" t="s">
        <v>243</v>
      </c>
      <c r="C159" s="50" t="s">
        <v>244</v>
      </c>
      <c r="D159" s="51" t="s">
        <v>84</v>
      </c>
      <c r="E159" s="112">
        <v>5.5</v>
      </c>
      <c r="F159" s="4"/>
      <c r="G159" s="59">
        <f t="shared" si="4"/>
        <v>0</v>
      </c>
      <c r="K159" s="93"/>
    </row>
    <row r="160" spans="2:11" s="38" customFormat="1" ht="89.25" outlineLevel="1">
      <c r="B160" s="71" t="s">
        <v>245</v>
      </c>
      <c r="C160" s="50" t="s">
        <v>246</v>
      </c>
      <c r="D160" s="51" t="s">
        <v>84</v>
      </c>
      <c r="E160" s="112">
        <v>4.76</v>
      </c>
      <c r="F160" s="4"/>
      <c r="G160" s="59">
        <f t="shared" si="4"/>
        <v>0</v>
      </c>
      <c r="K160" s="93"/>
    </row>
    <row r="161" spans="2:11" s="38" customFormat="1" ht="102.75" customHeight="1" outlineLevel="1">
      <c r="B161" s="71" t="s">
        <v>247</v>
      </c>
      <c r="C161" s="50" t="s">
        <v>248</v>
      </c>
      <c r="D161" s="51" t="s">
        <v>84</v>
      </c>
      <c r="E161" s="112">
        <v>5.5</v>
      </c>
      <c r="F161" s="4"/>
      <c r="G161" s="59">
        <f t="shared" si="4"/>
        <v>0</v>
      </c>
      <c r="K161" s="93"/>
    </row>
    <row r="162" spans="2:11" s="38" customFormat="1" outlineLevel="1">
      <c r="B162" s="71"/>
      <c r="C162" s="50"/>
      <c r="D162" s="51"/>
      <c r="E162" s="112"/>
      <c r="F162" s="4"/>
      <c r="G162" s="59">
        <f t="shared" si="4"/>
        <v>0</v>
      </c>
      <c r="K162" s="93"/>
    </row>
    <row r="163" spans="2:11" s="38" customFormat="1">
      <c r="B163" s="71" t="s">
        <v>249</v>
      </c>
      <c r="C163" s="55" t="s">
        <v>123</v>
      </c>
      <c r="D163" s="56"/>
      <c r="E163" s="124">
        <v>0</v>
      </c>
      <c r="F163" s="4"/>
      <c r="G163" s="59">
        <f t="shared" si="4"/>
        <v>0</v>
      </c>
      <c r="K163" s="93"/>
    </row>
    <row r="164" spans="2:11" s="38" customFormat="1" ht="140.25" outlineLevel="1">
      <c r="B164" s="71" t="s">
        <v>250</v>
      </c>
      <c r="C164" s="50" t="s">
        <v>125</v>
      </c>
      <c r="D164" s="51" t="s">
        <v>75</v>
      </c>
      <c r="E164" s="112">
        <v>9.11</v>
      </c>
      <c r="F164" s="4"/>
      <c r="G164" s="59">
        <f t="shared" si="4"/>
        <v>0</v>
      </c>
      <c r="K164" s="93"/>
    </row>
    <row r="165" spans="2:11" s="38" customFormat="1" ht="178.5" outlineLevel="1">
      <c r="B165" s="71" t="s">
        <v>251</v>
      </c>
      <c r="C165" s="155" t="s">
        <v>127</v>
      </c>
      <c r="D165" s="51" t="s">
        <v>75</v>
      </c>
      <c r="E165" s="112">
        <v>3.21</v>
      </c>
      <c r="F165" s="4"/>
      <c r="G165" s="59">
        <f t="shared" si="4"/>
        <v>0</v>
      </c>
      <c r="K165" s="93"/>
    </row>
    <row r="166" spans="2:11" s="38" customFormat="1" ht="127.5" outlineLevel="1">
      <c r="B166" s="71" t="s">
        <v>252</v>
      </c>
      <c r="C166" s="50" t="s">
        <v>129</v>
      </c>
      <c r="D166" s="51" t="s">
        <v>84</v>
      </c>
      <c r="E166" s="112">
        <v>3.85</v>
      </c>
      <c r="F166" s="4"/>
      <c r="G166" s="59">
        <f t="shared" si="4"/>
        <v>0</v>
      </c>
      <c r="K166" s="93"/>
    </row>
    <row r="167" spans="2:11" s="38" customFormat="1" ht="89.25" outlineLevel="1">
      <c r="B167" s="71" t="s">
        <v>253</v>
      </c>
      <c r="C167" s="50" t="s">
        <v>254</v>
      </c>
      <c r="D167" s="51" t="s">
        <v>75</v>
      </c>
      <c r="E167" s="112">
        <v>7.62</v>
      </c>
      <c r="F167" s="4"/>
      <c r="G167" s="59">
        <f t="shared" si="4"/>
        <v>0</v>
      </c>
      <c r="K167" s="93"/>
    </row>
    <row r="168" spans="2:11" s="38" customFormat="1" ht="89.25" outlineLevel="1">
      <c r="B168" s="71" t="s">
        <v>255</v>
      </c>
      <c r="C168" s="50" t="s">
        <v>256</v>
      </c>
      <c r="D168" s="51" t="s">
        <v>75</v>
      </c>
      <c r="E168" s="112">
        <v>8.16</v>
      </c>
      <c r="F168" s="4"/>
      <c r="G168" s="59">
        <f t="shared" si="4"/>
        <v>0</v>
      </c>
      <c r="K168" s="93"/>
    </row>
    <row r="169" spans="2:11" s="38" customFormat="1" ht="114.75" outlineLevel="1">
      <c r="B169" s="71" t="s">
        <v>257</v>
      </c>
      <c r="C169" s="50" t="s">
        <v>258</v>
      </c>
      <c r="D169" s="51" t="s">
        <v>75</v>
      </c>
      <c r="E169" s="112">
        <v>3.21</v>
      </c>
      <c r="F169" s="4"/>
      <c r="G169" s="59">
        <f t="shared" si="4"/>
        <v>0</v>
      </c>
      <c r="K169" s="93"/>
    </row>
    <row r="170" spans="2:11" s="38" customFormat="1" ht="76.5" outlineLevel="1">
      <c r="B170" s="71" t="s">
        <v>259</v>
      </c>
      <c r="C170" s="50" t="s">
        <v>260</v>
      </c>
      <c r="D170" s="51" t="s">
        <v>75</v>
      </c>
      <c r="E170" s="112">
        <v>8.44</v>
      </c>
      <c r="F170" s="4"/>
      <c r="G170" s="59">
        <f t="shared" si="4"/>
        <v>0</v>
      </c>
      <c r="K170" s="93"/>
    </row>
    <row r="171" spans="2:11" s="38" customFormat="1" ht="51" outlineLevel="1">
      <c r="B171" s="71" t="s">
        <v>261</v>
      </c>
      <c r="C171" s="50" t="s">
        <v>139</v>
      </c>
      <c r="D171" s="51" t="s">
        <v>140</v>
      </c>
      <c r="E171" s="112">
        <v>1</v>
      </c>
      <c r="F171" s="4"/>
      <c r="G171" s="59">
        <f t="shared" si="4"/>
        <v>0</v>
      </c>
      <c r="K171" s="93"/>
    </row>
    <row r="172" spans="2:11" s="38" customFormat="1" ht="76.5" outlineLevel="1">
      <c r="B172" s="71" t="s">
        <v>262</v>
      </c>
      <c r="C172" s="50" t="s">
        <v>263</v>
      </c>
      <c r="D172" s="51" t="s">
        <v>84</v>
      </c>
      <c r="E172" s="112">
        <v>4.13</v>
      </c>
      <c r="F172" s="4"/>
      <c r="G172" s="59">
        <f t="shared" si="4"/>
        <v>0</v>
      </c>
      <c r="K172" s="93"/>
    </row>
    <row r="173" spans="2:11" s="38" customFormat="1" ht="76.5" outlineLevel="1">
      <c r="B173" s="71" t="s">
        <v>264</v>
      </c>
      <c r="C173" s="50" t="s">
        <v>265</v>
      </c>
      <c r="D173" s="51" t="s">
        <v>84</v>
      </c>
      <c r="E173" s="112">
        <v>11.1</v>
      </c>
      <c r="F173" s="4"/>
      <c r="G173" s="59">
        <f t="shared" si="4"/>
        <v>0</v>
      </c>
      <c r="K173" s="93"/>
    </row>
    <row r="174" spans="2:11" s="38" customFormat="1">
      <c r="B174" s="71" t="s">
        <v>266</v>
      </c>
      <c r="C174" s="55" t="s">
        <v>146</v>
      </c>
      <c r="D174" s="56"/>
      <c r="E174" s="124">
        <v>0</v>
      </c>
      <c r="F174" s="4"/>
      <c r="G174" s="59">
        <f t="shared" si="4"/>
        <v>0</v>
      </c>
      <c r="K174" s="93"/>
    </row>
    <row r="175" spans="2:11" s="38" customFormat="1" ht="216.75" outlineLevel="1">
      <c r="B175" s="127" t="s">
        <v>267</v>
      </c>
      <c r="C175" s="97" t="s">
        <v>2637</v>
      </c>
      <c r="D175" s="51" t="s">
        <v>140</v>
      </c>
      <c r="E175" s="112">
        <v>1</v>
      </c>
      <c r="F175" s="4"/>
      <c r="G175" s="59">
        <f t="shared" si="4"/>
        <v>0</v>
      </c>
      <c r="K175" s="93"/>
    </row>
    <row r="176" spans="2:11" s="38" customFormat="1" ht="165.75" outlineLevel="1">
      <c r="B176" s="127" t="s">
        <v>268</v>
      </c>
      <c r="C176" s="97" t="s">
        <v>269</v>
      </c>
      <c r="D176" s="51" t="s">
        <v>140</v>
      </c>
      <c r="E176" s="112">
        <v>1</v>
      </c>
      <c r="F176" s="4"/>
      <c r="G176" s="59">
        <f t="shared" si="4"/>
        <v>0</v>
      </c>
      <c r="K176" s="93"/>
    </row>
    <row r="177" spans="2:11" s="38" customFormat="1">
      <c r="B177" s="71" t="s">
        <v>270</v>
      </c>
      <c r="C177" s="55" t="s">
        <v>151</v>
      </c>
      <c r="D177" s="56"/>
      <c r="E177" s="124">
        <v>0</v>
      </c>
      <c r="F177" s="4"/>
      <c r="G177" s="59">
        <f t="shared" si="4"/>
        <v>0</v>
      </c>
      <c r="K177" s="93"/>
    </row>
    <row r="178" spans="2:11" s="38" customFormat="1" ht="38.25" outlineLevel="1">
      <c r="B178" s="71" t="s">
        <v>271</v>
      </c>
      <c r="C178" s="50" t="s">
        <v>153</v>
      </c>
      <c r="D178" s="51" t="s">
        <v>140</v>
      </c>
      <c r="E178" s="112">
        <v>1</v>
      </c>
      <c r="F178" s="13"/>
      <c r="G178" s="59">
        <f t="shared" si="4"/>
        <v>0</v>
      </c>
      <c r="K178" s="93"/>
    </row>
    <row r="179" spans="2:11" s="38" customFormat="1" ht="51" outlineLevel="1">
      <c r="B179" s="71" t="s">
        <v>272</v>
      </c>
      <c r="C179" s="50" t="s">
        <v>155</v>
      </c>
      <c r="D179" s="51" t="s">
        <v>140</v>
      </c>
      <c r="E179" s="112">
        <v>1</v>
      </c>
      <c r="F179" s="13"/>
      <c r="G179" s="59">
        <f t="shared" si="4"/>
        <v>0</v>
      </c>
      <c r="K179" s="93"/>
    </row>
    <row r="180" spans="2:11" s="38" customFormat="1">
      <c r="B180" s="71" t="s">
        <v>273</v>
      </c>
      <c r="C180" s="55" t="s">
        <v>157</v>
      </c>
      <c r="D180" s="56"/>
      <c r="E180" s="124">
        <v>0</v>
      </c>
      <c r="F180" s="4">
        <v>0</v>
      </c>
      <c r="G180" s="59">
        <f t="shared" si="4"/>
        <v>0</v>
      </c>
      <c r="K180" s="93"/>
    </row>
    <row r="181" spans="2:11" s="38" customFormat="1" ht="51" outlineLevel="1">
      <c r="B181" s="98"/>
      <c r="C181" s="50" t="s">
        <v>158</v>
      </c>
      <c r="D181" s="51"/>
      <c r="E181" s="112"/>
      <c r="F181" s="4"/>
      <c r="G181" s="59">
        <f t="shared" si="4"/>
        <v>0</v>
      </c>
      <c r="K181" s="93"/>
    </row>
    <row r="182" spans="2:11" s="38" customFormat="1" ht="51" outlineLevel="1">
      <c r="B182" s="71" t="s">
        <v>274</v>
      </c>
      <c r="C182" s="50" t="s">
        <v>160</v>
      </c>
      <c r="D182" s="51" t="s">
        <v>140</v>
      </c>
      <c r="E182" s="112">
        <v>1</v>
      </c>
      <c r="F182" s="4"/>
      <c r="G182" s="59">
        <f t="shared" si="4"/>
        <v>0</v>
      </c>
      <c r="K182" s="100"/>
    </row>
    <row r="183" spans="2:11" s="38" customFormat="1" ht="38.25" outlineLevel="1">
      <c r="B183" s="71" t="s">
        <v>275</v>
      </c>
      <c r="C183" s="50" t="s">
        <v>276</v>
      </c>
      <c r="D183" s="51" t="s">
        <v>140</v>
      </c>
      <c r="E183" s="112">
        <v>1</v>
      </c>
      <c r="F183" s="4"/>
      <c r="G183" s="59">
        <f t="shared" si="4"/>
        <v>0</v>
      </c>
      <c r="K183" s="100"/>
    </row>
    <row r="184" spans="2:11" s="38" customFormat="1" ht="51" outlineLevel="1">
      <c r="B184" s="71" t="s">
        <v>277</v>
      </c>
      <c r="C184" s="50" t="s">
        <v>164</v>
      </c>
      <c r="D184" s="51" t="s">
        <v>140</v>
      </c>
      <c r="E184" s="112">
        <v>1</v>
      </c>
      <c r="F184" s="4"/>
      <c r="G184" s="59">
        <f t="shared" si="4"/>
        <v>0</v>
      </c>
      <c r="K184" s="100"/>
    </row>
    <row r="185" spans="2:11" s="38" customFormat="1" ht="140.25" outlineLevel="1">
      <c r="B185" s="71" t="s">
        <v>278</v>
      </c>
      <c r="C185" s="50" t="s">
        <v>279</v>
      </c>
      <c r="D185" s="51" t="s">
        <v>140</v>
      </c>
      <c r="E185" s="112">
        <v>1</v>
      </c>
      <c r="F185" s="4"/>
      <c r="G185" s="59">
        <f t="shared" si="4"/>
        <v>0</v>
      </c>
      <c r="K185" s="100"/>
    </row>
    <row r="186" spans="2:11" s="38" customFormat="1" ht="89.25" outlineLevel="1">
      <c r="B186" s="71" t="s">
        <v>280</v>
      </c>
      <c r="C186" s="50" t="s">
        <v>281</v>
      </c>
      <c r="D186" s="51" t="s">
        <v>140</v>
      </c>
      <c r="E186" s="112">
        <v>1</v>
      </c>
      <c r="F186" s="4"/>
      <c r="G186" s="59">
        <f t="shared" si="4"/>
        <v>0</v>
      </c>
      <c r="K186" s="100"/>
    </row>
    <row r="187" spans="2:11" s="38" customFormat="1" ht="51" outlineLevel="1">
      <c r="B187" s="71" t="s">
        <v>282</v>
      </c>
      <c r="C187" s="50" t="s">
        <v>283</v>
      </c>
      <c r="D187" s="51" t="s">
        <v>140</v>
      </c>
      <c r="E187" s="112">
        <v>1</v>
      </c>
      <c r="F187" s="4"/>
      <c r="G187" s="59">
        <f t="shared" si="4"/>
        <v>0</v>
      </c>
      <c r="K187" s="100"/>
    </row>
    <row r="188" spans="2:11" s="38" customFormat="1" ht="51" outlineLevel="1">
      <c r="B188" s="71" t="s">
        <v>284</v>
      </c>
      <c r="C188" s="50" t="s">
        <v>285</v>
      </c>
      <c r="D188" s="51" t="s">
        <v>140</v>
      </c>
      <c r="E188" s="112">
        <v>1</v>
      </c>
      <c r="F188" s="4"/>
      <c r="G188" s="59">
        <f t="shared" si="4"/>
        <v>0</v>
      </c>
      <c r="K188" s="100"/>
    </row>
    <row r="189" spans="2:11" s="38" customFormat="1" ht="51" outlineLevel="1">
      <c r="B189" s="71" t="s">
        <v>286</v>
      </c>
      <c r="C189" s="50" t="s">
        <v>287</v>
      </c>
      <c r="D189" s="51" t="s">
        <v>140</v>
      </c>
      <c r="E189" s="112">
        <v>1</v>
      </c>
      <c r="F189" s="4"/>
      <c r="G189" s="59">
        <f t="shared" si="4"/>
        <v>0</v>
      </c>
      <c r="K189" s="100"/>
    </row>
    <row r="190" spans="2:11" s="38" customFormat="1" ht="51" outlineLevel="1">
      <c r="B190" s="71" t="s">
        <v>288</v>
      </c>
      <c r="C190" s="50" t="s">
        <v>2639</v>
      </c>
      <c r="D190" s="51" t="s">
        <v>140</v>
      </c>
      <c r="E190" s="112">
        <v>1</v>
      </c>
      <c r="F190" s="4"/>
      <c r="G190" s="59">
        <f t="shared" si="4"/>
        <v>0</v>
      </c>
      <c r="K190" s="100"/>
    </row>
    <row r="191" spans="2:11" s="38" customFormat="1" ht="51" outlineLevel="1">
      <c r="B191" s="71" t="s">
        <v>289</v>
      </c>
      <c r="C191" s="50" t="s">
        <v>290</v>
      </c>
      <c r="D191" s="51" t="s">
        <v>140</v>
      </c>
      <c r="E191" s="112">
        <v>1</v>
      </c>
      <c r="F191" s="4"/>
      <c r="G191" s="59">
        <f t="shared" si="4"/>
        <v>0</v>
      </c>
      <c r="K191" s="100"/>
    </row>
    <row r="192" spans="2:11" s="38" customFormat="1" ht="76.5" outlineLevel="1">
      <c r="B192" s="71" t="s">
        <v>291</v>
      </c>
      <c r="C192" s="50" t="s">
        <v>292</v>
      </c>
      <c r="D192" s="51" t="s">
        <v>140</v>
      </c>
      <c r="E192" s="112">
        <v>1</v>
      </c>
      <c r="F192" s="4"/>
      <c r="G192" s="59">
        <f t="shared" si="4"/>
        <v>0</v>
      </c>
      <c r="K192" s="100"/>
    </row>
    <row r="193" spans="2:11" s="38" customFormat="1" ht="51" outlineLevel="1">
      <c r="B193" s="71" t="s">
        <v>293</v>
      </c>
      <c r="C193" s="50" t="s">
        <v>294</v>
      </c>
      <c r="D193" s="51" t="s">
        <v>140</v>
      </c>
      <c r="E193" s="112">
        <v>1</v>
      </c>
      <c r="F193" s="4"/>
      <c r="G193" s="59">
        <f t="shared" si="4"/>
        <v>0</v>
      </c>
      <c r="K193" s="100"/>
    </row>
    <row r="194" spans="2:11" s="38" customFormat="1" ht="25.5" outlineLevel="1">
      <c r="B194" s="71" t="s">
        <v>295</v>
      </c>
      <c r="C194" s="50" t="s">
        <v>183</v>
      </c>
      <c r="D194" s="51" t="s">
        <v>140</v>
      </c>
      <c r="E194" s="112">
        <v>1</v>
      </c>
      <c r="F194" s="4"/>
      <c r="G194" s="59">
        <f t="shared" ref="G194:G204" si="5">E194*F194</f>
        <v>0</v>
      </c>
      <c r="K194" s="100"/>
    </row>
    <row r="195" spans="2:11" s="38" customFormat="1" ht="38.25" outlineLevel="1">
      <c r="B195" s="71" t="s">
        <v>296</v>
      </c>
      <c r="C195" s="50" t="s">
        <v>297</v>
      </c>
      <c r="D195" s="51" t="s">
        <v>140</v>
      </c>
      <c r="E195" s="112">
        <v>2</v>
      </c>
      <c r="F195" s="4">
        <v>0</v>
      </c>
      <c r="G195" s="59">
        <f t="shared" si="5"/>
        <v>0</v>
      </c>
      <c r="K195" s="100"/>
    </row>
    <row r="196" spans="2:11" s="38" customFormat="1" ht="51" outlineLevel="1">
      <c r="B196" s="71" t="s">
        <v>298</v>
      </c>
      <c r="C196" s="50" t="s">
        <v>299</v>
      </c>
      <c r="D196" s="51" t="s">
        <v>140</v>
      </c>
      <c r="E196" s="112">
        <v>1</v>
      </c>
      <c r="F196" s="4">
        <v>0</v>
      </c>
      <c r="G196" s="59">
        <f t="shared" si="5"/>
        <v>0</v>
      </c>
      <c r="K196" s="100"/>
    </row>
    <row r="197" spans="2:11" s="38" customFormat="1" ht="38.25" outlineLevel="1">
      <c r="B197" s="71" t="s">
        <v>300</v>
      </c>
      <c r="C197" s="50" t="s">
        <v>301</v>
      </c>
      <c r="D197" s="51" t="s">
        <v>140</v>
      </c>
      <c r="E197" s="112">
        <v>2</v>
      </c>
      <c r="F197" s="4">
        <v>0</v>
      </c>
      <c r="G197" s="59">
        <f t="shared" si="5"/>
        <v>0</v>
      </c>
      <c r="K197" s="100"/>
    </row>
    <row r="198" spans="2:11" s="38" customFormat="1" ht="25.5" outlineLevel="1">
      <c r="B198" s="71" t="s">
        <v>302</v>
      </c>
      <c r="C198" s="50" t="s">
        <v>303</v>
      </c>
      <c r="D198" s="51" t="s">
        <v>140</v>
      </c>
      <c r="E198" s="112">
        <v>1</v>
      </c>
      <c r="F198" s="4">
        <v>0</v>
      </c>
      <c r="G198" s="59">
        <f t="shared" si="5"/>
        <v>0</v>
      </c>
      <c r="K198" s="100"/>
    </row>
    <row r="199" spans="2:11" s="38" customFormat="1" ht="51" outlineLevel="1">
      <c r="B199" s="71" t="s">
        <v>304</v>
      </c>
      <c r="C199" s="50" t="s">
        <v>305</v>
      </c>
      <c r="D199" s="51" t="s">
        <v>140</v>
      </c>
      <c r="E199" s="112">
        <v>1</v>
      </c>
      <c r="F199" s="4"/>
      <c r="G199" s="59">
        <f t="shared" si="5"/>
        <v>0</v>
      </c>
      <c r="K199" s="100"/>
    </row>
    <row r="200" spans="2:11" s="38" customFormat="1" ht="153" outlineLevel="1">
      <c r="B200" s="71" t="s">
        <v>306</v>
      </c>
      <c r="C200" s="50" t="s">
        <v>195</v>
      </c>
      <c r="D200" s="51" t="s">
        <v>140</v>
      </c>
      <c r="E200" s="112">
        <v>1</v>
      </c>
      <c r="F200" s="4">
        <v>0</v>
      </c>
      <c r="G200" s="59">
        <f t="shared" si="5"/>
        <v>0</v>
      </c>
      <c r="K200" s="100"/>
    </row>
    <row r="201" spans="2:11" s="38" customFormat="1" ht="76.5" outlineLevel="1">
      <c r="B201" s="71" t="s">
        <v>307</v>
      </c>
      <c r="C201" s="50" t="s">
        <v>308</v>
      </c>
      <c r="D201" s="51" t="s">
        <v>140</v>
      </c>
      <c r="E201" s="112">
        <v>1</v>
      </c>
      <c r="F201" s="4"/>
      <c r="G201" s="59">
        <f t="shared" si="5"/>
        <v>0</v>
      </c>
      <c r="K201" s="100"/>
    </row>
    <row r="202" spans="2:11" s="38" customFormat="1" ht="104.25" customHeight="1" outlineLevel="1">
      <c r="B202" s="71" t="s">
        <v>309</v>
      </c>
      <c r="C202" s="50" t="s">
        <v>2625</v>
      </c>
      <c r="D202" s="51" t="s">
        <v>140</v>
      </c>
      <c r="E202" s="112">
        <v>1</v>
      </c>
      <c r="F202" s="4"/>
      <c r="G202" s="59">
        <f t="shared" si="5"/>
        <v>0</v>
      </c>
      <c r="K202" s="93"/>
    </row>
    <row r="203" spans="2:11" s="38" customFormat="1" ht="89.25" outlineLevel="1">
      <c r="B203" s="71" t="s">
        <v>310</v>
      </c>
      <c r="C203" s="50" t="s">
        <v>311</v>
      </c>
      <c r="D203" s="51" t="s">
        <v>140</v>
      </c>
      <c r="E203" s="112">
        <v>1</v>
      </c>
      <c r="F203" s="4"/>
      <c r="G203" s="59">
        <f t="shared" si="5"/>
        <v>0</v>
      </c>
      <c r="K203" s="93"/>
    </row>
    <row r="204" spans="2:11" s="38" customFormat="1">
      <c r="B204" s="71" t="s">
        <v>312</v>
      </c>
      <c r="C204" s="55" t="s">
        <v>202</v>
      </c>
      <c r="D204" s="56"/>
      <c r="E204" s="124">
        <v>0</v>
      </c>
      <c r="F204" s="4"/>
      <c r="G204" s="59">
        <f t="shared" si="5"/>
        <v>0</v>
      </c>
      <c r="K204" s="100"/>
    </row>
    <row r="205" spans="2:11" s="38" customFormat="1" ht="78" customHeight="1" outlineLevel="1">
      <c r="B205" s="71" t="s">
        <v>313</v>
      </c>
      <c r="C205" s="50" t="s">
        <v>314</v>
      </c>
      <c r="D205" s="51" t="s">
        <v>84</v>
      </c>
      <c r="E205" s="112">
        <v>3.94</v>
      </c>
      <c r="F205" s="4"/>
      <c r="G205" s="59">
        <f>E205*F205</f>
        <v>0</v>
      </c>
      <c r="K205" s="100"/>
    </row>
    <row r="206" spans="2:11" s="38" customFormat="1">
      <c r="B206" s="71"/>
      <c r="C206" s="55"/>
      <c r="D206" s="56"/>
      <c r="E206" s="124"/>
      <c r="F206" s="4"/>
      <c r="G206" s="4"/>
      <c r="K206" s="100"/>
    </row>
    <row r="207" spans="2:11" s="38" customFormat="1">
      <c r="B207" s="72" t="s">
        <v>315</v>
      </c>
      <c r="C207" s="52"/>
      <c r="D207" s="15"/>
      <c r="E207" s="122"/>
      <c r="F207" s="54"/>
      <c r="G207" s="58">
        <f>SUM(G130:G205)</f>
        <v>0</v>
      </c>
      <c r="K207" s="93"/>
    </row>
    <row r="208" spans="2:11" s="38" customFormat="1" outlineLevel="1">
      <c r="B208" s="71"/>
      <c r="C208" s="50"/>
      <c r="D208" s="51"/>
      <c r="E208" s="112"/>
      <c r="F208" s="4"/>
      <c r="G208" s="59"/>
      <c r="K208" s="100"/>
    </row>
    <row r="209" spans="2:11" s="38" customFormat="1">
      <c r="B209" s="114" t="s">
        <v>316</v>
      </c>
      <c r="C209" s="52"/>
      <c r="D209" s="15"/>
      <c r="E209" s="122"/>
      <c r="F209" s="54"/>
      <c r="G209" s="58"/>
      <c r="K209" s="93"/>
    </row>
    <row r="210" spans="2:11" s="38" customFormat="1" ht="38.25">
      <c r="B210" s="116"/>
      <c r="C210" s="55" t="s">
        <v>207</v>
      </c>
      <c r="D210" s="11" t="s">
        <v>140</v>
      </c>
      <c r="E210" s="121">
        <v>33</v>
      </c>
      <c r="F210" s="13"/>
      <c r="G210" s="172">
        <f>G207*E210</f>
        <v>0</v>
      </c>
      <c r="K210" s="93"/>
    </row>
    <row r="211" spans="2:11" s="38" customFormat="1" outlineLevel="1">
      <c r="B211" s="71"/>
      <c r="C211" s="50"/>
      <c r="D211" s="51"/>
      <c r="E211" s="112"/>
      <c r="F211" s="4"/>
      <c r="G211" s="59"/>
      <c r="K211" s="100"/>
    </row>
    <row r="212" spans="2:11" s="38" customFormat="1">
      <c r="B212" s="72">
        <v>3.3</v>
      </c>
      <c r="C212" s="70" t="s">
        <v>317</v>
      </c>
      <c r="D212" s="49"/>
      <c r="E212" s="123">
        <v>0</v>
      </c>
      <c r="F212" s="54">
        <v>0</v>
      </c>
      <c r="G212" s="58"/>
      <c r="K212" s="93"/>
    </row>
    <row r="213" spans="2:11" s="38" customFormat="1">
      <c r="B213" s="116"/>
      <c r="C213" s="116"/>
      <c r="D213" s="56"/>
      <c r="E213" s="124"/>
      <c r="F213" s="13"/>
      <c r="G213" s="113"/>
      <c r="K213" s="93"/>
    </row>
    <row r="214" spans="2:11" s="38" customFormat="1" ht="53.25" customHeight="1">
      <c r="B214" s="116"/>
      <c r="C214" s="50" t="s">
        <v>60</v>
      </c>
      <c r="D214" s="56"/>
      <c r="E214" s="124"/>
      <c r="F214" s="13"/>
      <c r="G214" s="59">
        <f t="shared" ref="G214:G277" si="6">E214*F214</f>
        <v>0</v>
      </c>
      <c r="K214" s="93"/>
    </row>
    <row r="215" spans="2:11" s="38" customFormat="1">
      <c r="B215" s="116"/>
      <c r="C215" s="116"/>
      <c r="D215" s="56"/>
      <c r="E215" s="124"/>
      <c r="F215" s="13"/>
      <c r="G215" s="59">
        <f t="shared" si="6"/>
        <v>0</v>
      </c>
      <c r="K215" s="93"/>
    </row>
    <row r="216" spans="2:11" s="38" customFormat="1">
      <c r="B216" s="71" t="s">
        <v>318</v>
      </c>
      <c r="C216" s="55" t="s">
        <v>62</v>
      </c>
      <c r="D216" s="56"/>
      <c r="E216" s="124">
        <v>0</v>
      </c>
      <c r="F216" s="13">
        <v>0</v>
      </c>
      <c r="G216" s="59">
        <f t="shared" si="6"/>
        <v>0</v>
      </c>
      <c r="K216" s="93"/>
    </row>
    <row r="217" spans="2:11" s="38" customFormat="1" ht="191.25" outlineLevel="1">
      <c r="B217" s="71" t="s">
        <v>63</v>
      </c>
      <c r="C217" s="50" t="s">
        <v>64</v>
      </c>
      <c r="D217" s="51" t="s">
        <v>38</v>
      </c>
      <c r="E217" s="112">
        <v>1</v>
      </c>
      <c r="F217" s="4"/>
      <c r="G217" s="59">
        <f t="shared" si="6"/>
        <v>0</v>
      </c>
      <c r="K217" s="93"/>
    </row>
    <row r="218" spans="2:11" s="38" customFormat="1" outlineLevel="1">
      <c r="B218" s="71"/>
      <c r="C218" s="50"/>
      <c r="D218" s="51"/>
      <c r="E218" s="112"/>
      <c r="F218" s="4"/>
      <c r="G218" s="59">
        <f t="shared" si="6"/>
        <v>0</v>
      </c>
      <c r="K218" s="93"/>
    </row>
    <row r="219" spans="2:11" s="38" customFormat="1">
      <c r="B219" s="71" t="s">
        <v>319</v>
      </c>
      <c r="C219" s="55" t="s">
        <v>66</v>
      </c>
      <c r="D219" s="56"/>
      <c r="E219" s="124">
        <v>0</v>
      </c>
      <c r="F219" s="13"/>
      <c r="G219" s="59">
        <f t="shared" si="6"/>
        <v>0</v>
      </c>
      <c r="K219" s="93"/>
    </row>
    <row r="220" spans="2:11" s="38" customFormat="1" ht="46.5" customHeight="1" outlineLevel="1">
      <c r="B220" s="71" t="s">
        <v>320</v>
      </c>
      <c r="C220" s="132" t="s">
        <v>68</v>
      </c>
      <c r="D220" s="51" t="s">
        <v>38</v>
      </c>
      <c r="E220" s="112">
        <v>1</v>
      </c>
      <c r="F220" s="4"/>
      <c r="G220" s="59">
        <f t="shared" si="6"/>
        <v>0</v>
      </c>
      <c r="K220" s="100"/>
    </row>
    <row r="221" spans="2:11" s="38" customFormat="1" ht="51" outlineLevel="1">
      <c r="B221" s="71" t="s">
        <v>321</v>
      </c>
      <c r="C221" s="132" t="s">
        <v>70</v>
      </c>
      <c r="D221" s="51" t="s">
        <v>38</v>
      </c>
      <c r="E221" s="112">
        <v>1</v>
      </c>
      <c r="F221" s="4"/>
      <c r="G221" s="59">
        <f t="shared" si="6"/>
        <v>0</v>
      </c>
      <c r="K221" s="100"/>
    </row>
    <row r="222" spans="2:11" s="38" customFormat="1">
      <c r="B222" s="71" t="s">
        <v>322</v>
      </c>
      <c r="C222" s="55" t="s">
        <v>72</v>
      </c>
      <c r="D222" s="56"/>
      <c r="E222" s="124">
        <v>0</v>
      </c>
      <c r="F222" s="4">
        <v>0</v>
      </c>
      <c r="G222" s="59">
        <f t="shared" si="6"/>
        <v>0</v>
      </c>
      <c r="K222" s="93"/>
    </row>
    <row r="223" spans="2:11" s="38" customFormat="1" ht="114.75" customHeight="1" outlineLevel="1">
      <c r="B223" s="71" t="s">
        <v>323</v>
      </c>
      <c r="C223" s="132" t="s">
        <v>324</v>
      </c>
      <c r="D223" s="51" t="s">
        <v>75</v>
      </c>
      <c r="E223" s="112">
        <v>17.66</v>
      </c>
      <c r="F223" s="4"/>
      <c r="G223" s="59">
        <f t="shared" si="6"/>
        <v>0</v>
      </c>
      <c r="K223" s="93"/>
    </row>
    <row r="224" spans="2:11" s="38" customFormat="1" ht="95.25" customHeight="1" outlineLevel="1">
      <c r="B224" s="71" t="s">
        <v>325</v>
      </c>
      <c r="C224" s="132" t="s">
        <v>77</v>
      </c>
      <c r="D224" s="51" t="s">
        <v>75</v>
      </c>
      <c r="E224" s="112">
        <v>10.58</v>
      </c>
      <c r="F224" s="4"/>
      <c r="G224" s="59">
        <f t="shared" si="6"/>
        <v>0</v>
      </c>
      <c r="K224" s="93"/>
    </row>
    <row r="225" spans="2:11" s="38" customFormat="1" ht="76.5" outlineLevel="1">
      <c r="B225" s="71" t="s">
        <v>326</v>
      </c>
      <c r="C225" s="132" t="s">
        <v>327</v>
      </c>
      <c r="D225" s="51" t="s">
        <v>75</v>
      </c>
      <c r="E225" s="112">
        <v>21.16</v>
      </c>
      <c r="F225" s="57"/>
      <c r="G225" s="59">
        <f t="shared" si="6"/>
        <v>0</v>
      </c>
      <c r="K225" s="93"/>
    </row>
    <row r="226" spans="2:11" s="38" customFormat="1" ht="102" outlineLevel="1">
      <c r="B226" s="71" t="s">
        <v>328</v>
      </c>
      <c r="C226" s="132" t="s">
        <v>329</v>
      </c>
      <c r="D226" s="51" t="s">
        <v>75</v>
      </c>
      <c r="E226" s="112">
        <v>2.4700000000000002</v>
      </c>
      <c r="F226" s="4"/>
      <c r="G226" s="59">
        <f t="shared" si="6"/>
        <v>0</v>
      </c>
      <c r="K226" s="93"/>
    </row>
    <row r="227" spans="2:11" s="38" customFormat="1" ht="63.75" outlineLevel="1">
      <c r="B227" s="71" t="s">
        <v>330</v>
      </c>
      <c r="C227" s="132" t="s">
        <v>331</v>
      </c>
      <c r="D227" s="51" t="s">
        <v>84</v>
      </c>
      <c r="E227" s="112">
        <v>1.8</v>
      </c>
      <c r="F227" s="4"/>
      <c r="G227" s="59">
        <f t="shared" si="6"/>
        <v>0</v>
      </c>
      <c r="K227" s="93"/>
    </row>
    <row r="228" spans="2:11" s="38" customFormat="1" ht="45.75" customHeight="1" outlineLevel="1">
      <c r="B228" s="71" t="s">
        <v>332</v>
      </c>
      <c r="C228" s="132" t="s">
        <v>86</v>
      </c>
      <c r="D228" s="51" t="s">
        <v>84</v>
      </c>
      <c r="E228" s="112">
        <v>10.46</v>
      </c>
      <c r="F228" s="4"/>
      <c r="G228" s="59">
        <f t="shared" si="6"/>
        <v>0</v>
      </c>
      <c r="K228" s="93"/>
    </row>
    <row r="229" spans="2:11" s="38" customFormat="1" ht="38.25" outlineLevel="1">
      <c r="B229" s="71" t="s">
        <v>333</v>
      </c>
      <c r="C229" s="132" t="s">
        <v>88</v>
      </c>
      <c r="D229" s="51" t="s">
        <v>84</v>
      </c>
      <c r="E229" s="112">
        <v>3.1</v>
      </c>
      <c r="F229" s="4"/>
      <c r="G229" s="59">
        <f t="shared" si="6"/>
        <v>0</v>
      </c>
      <c r="K229" s="93"/>
    </row>
    <row r="230" spans="2:11" s="38" customFormat="1" ht="118.5" customHeight="1" outlineLevel="1">
      <c r="B230" s="71" t="s">
        <v>334</v>
      </c>
      <c r="C230" s="130" t="s">
        <v>335</v>
      </c>
      <c r="D230" s="51" t="s">
        <v>91</v>
      </c>
      <c r="E230" s="112">
        <v>1</v>
      </c>
      <c r="F230" s="4"/>
      <c r="G230" s="59">
        <f t="shared" si="6"/>
        <v>0</v>
      </c>
      <c r="K230" s="93"/>
    </row>
    <row r="231" spans="2:11" s="38" customFormat="1" outlineLevel="1">
      <c r="B231" s="71"/>
      <c r="C231" s="50"/>
      <c r="D231" s="51"/>
      <c r="E231" s="112"/>
      <c r="F231" s="4"/>
      <c r="G231" s="59">
        <f t="shared" si="6"/>
        <v>0</v>
      </c>
      <c r="K231" s="93"/>
    </row>
    <row r="232" spans="2:11" s="38" customFormat="1">
      <c r="B232" s="71" t="s">
        <v>336</v>
      </c>
      <c r="C232" s="55" t="s">
        <v>93</v>
      </c>
      <c r="D232" s="56"/>
      <c r="E232" s="124">
        <v>0</v>
      </c>
      <c r="F232" s="4">
        <v>0</v>
      </c>
      <c r="G232" s="59">
        <f t="shared" si="6"/>
        <v>0</v>
      </c>
      <c r="K232" s="93"/>
    </row>
    <row r="233" spans="2:11" s="38" customFormat="1" ht="72" customHeight="1" outlineLevel="1">
      <c r="B233" s="71" t="s">
        <v>337</v>
      </c>
      <c r="C233" s="50" t="s">
        <v>97</v>
      </c>
      <c r="D233" s="51" t="s">
        <v>75</v>
      </c>
      <c r="E233" s="112">
        <v>9.7100000000000009</v>
      </c>
      <c r="F233" s="4"/>
      <c r="G233" s="59">
        <f t="shared" si="6"/>
        <v>0</v>
      </c>
      <c r="K233" s="93"/>
    </row>
    <row r="234" spans="2:11" s="38" customFormat="1" ht="108" customHeight="1" outlineLevel="1">
      <c r="B234" s="71" t="s">
        <v>338</v>
      </c>
      <c r="C234" s="132" t="s">
        <v>99</v>
      </c>
      <c r="D234" s="51" t="s">
        <v>75</v>
      </c>
      <c r="E234" s="112">
        <v>46.38</v>
      </c>
      <c r="F234" s="4"/>
      <c r="G234" s="59">
        <f t="shared" si="6"/>
        <v>0</v>
      </c>
      <c r="K234" s="93"/>
    </row>
    <row r="235" spans="2:11" s="38" customFormat="1" ht="138" customHeight="1" outlineLevel="1">
      <c r="B235" s="71" t="s">
        <v>339</v>
      </c>
      <c r="C235" s="132" t="s">
        <v>340</v>
      </c>
      <c r="D235" s="51" t="s">
        <v>75</v>
      </c>
      <c r="E235" s="112">
        <v>0.65</v>
      </c>
      <c r="F235" s="4"/>
      <c r="G235" s="59">
        <f t="shared" si="6"/>
        <v>0</v>
      </c>
      <c r="K235" s="93"/>
    </row>
    <row r="236" spans="2:11" s="38" customFormat="1" ht="105" customHeight="1" outlineLevel="1">
      <c r="B236" s="71" t="s">
        <v>341</v>
      </c>
      <c r="C236" s="132" t="s">
        <v>103</v>
      </c>
      <c r="D236" s="115"/>
      <c r="E236" s="112">
        <v>5.2</v>
      </c>
      <c r="G236" s="59">
        <f t="shared" si="6"/>
        <v>0</v>
      </c>
      <c r="K236" s="93"/>
    </row>
    <row r="237" spans="2:11" s="38" customFormat="1" ht="178.5" outlineLevel="1">
      <c r="B237" s="71" t="s">
        <v>342</v>
      </c>
      <c r="C237" s="130" t="s">
        <v>343</v>
      </c>
      <c r="D237" s="51" t="s">
        <v>75</v>
      </c>
      <c r="E237" s="112">
        <v>4.5999999999999996</v>
      </c>
      <c r="F237" s="4"/>
      <c r="G237" s="59">
        <f t="shared" si="6"/>
        <v>0</v>
      </c>
      <c r="K237" s="93"/>
    </row>
    <row r="238" spans="2:11" s="38" customFormat="1" ht="178.5" outlineLevel="1">
      <c r="B238" s="71" t="s">
        <v>344</v>
      </c>
      <c r="C238" s="132" t="s">
        <v>2614</v>
      </c>
      <c r="D238" s="51" t="s">
        <v>75</v>
      </c>
      <c r="E238" s="112">
        <v>11.69</v>
      </c>
      <c r="F238" s="4"/>
      <c r="G238" s="59">
        <f t="shared" si="6"/>
        <v>0</v>
      </c>
      <c r="K238" s="93"/>
    </row>
    <row r="239" spans="2:11" s="38" customFormat="1" ht="178.5" outlineLevel="1">
      <c r="B239" s="71" t="s">
        <v>345</v>
      </c>
      <c r="C239" s="130" t="s">
        <v>2617</v>
      </c>
      <c r="D239" s="51" t="s">
        <v>75</v>
      </c>
      <c r="E239" s="112">
        <v>1.84</v>
      </c>
      <c r="F239" s="4"/>
      <c r="G239" s="59">
        <f t="shared" si="6"/>
        <v>0</v>
      </c>
      <c r="K239" s="93"/>
    </row>
    <row r="240" spans="2:11" s="38" customFormat="1" ht="177" customHeight="1" outlineLevel="1">
      <c r="B240" s="71" t="s">
        <v>346</v>
      </c>
      <c r="C240" s="132" t="s">
        <v>347</v>
      </c>
      <c r="D240" s="51" t="s">
        <v>75</v>
      </c>
      <c r="E240" s="112">
        <v>4.37</v>
      </c>
      <c r="F240" s="4"/>
      <c r="G240" s="59">
        <f t="shared" si="6"/>
        <v>0</v>
      </c>
      <c r="K240" s="93"/>
    </row>
    <row r="241" spans="2:11" s="38" customFormat="1" ht="89.25" customHeight="1" outlineLevel="1">
      <c r="B241" s="71" t="s">
        <v>348</v>
      </c>
      <c r="C241" s="132" t="s">
        <v>349</v>
      </c>
      <c r="D241" s="51" t="s">
        <v>75</v>
      </c>
      <c r="E241" s="112">
        <v>24.69</v>
      </c>
      <c r="F241" s="4"/>
      <c r="G241" s="59">
        <f t="shared" si="6"/>
        <v>0</v>
      </c>
      <c r="K241" s="93"/>
    </row>
    <row r="242" spans="2:11" s="38" customFormat="1" ht="87" customHeight="1" outlineLevel="1">
      <c r="B242" s="71" t="s">
        <v>350</v>
      </c>
      <c r="C242" s="132" t="s">
        <v>351</v>
      </c>
      <c r="D242" s="51" t="s">
        <v>75</v>
      </c>
      <c r="E242" s="112">
        <v>9.0299999999999994</v>
      </c>
      <c r="F242" s="4"/>
      <c r="G242" s="59">
        <f t="shared" si="6"/>
        <v>0</v>
      </c>
      <c r="K242" s="93"/>
    </row>
    <row r="243" spans="2:11" s="38" customFormat="1" ht="105.75" customHeight="1" outlineLevel="1">
      <c r="B243" s="71" t="s">
        <v>352</v>
      </c>
      <c r="C243" s="132" t="s">
        <v>353</v>
      </c>
      <c r="D243" s="51" t="s">
        <v>75</v>
      </c>
      <c r="E243" s="112">
        <v>5.2</v>
      </c>
      <c r="F243" s="4"/>
      <c r="G243" s="59">
        <f t="shared" si="6"/>
        <v>0</v>
      </c>
      <c r="K243" s="93"/>
    </row>
    <row r="244" spans="2:11" s="38" customFormat="1" ht="99" customHeight="1" outlineLevel="1">
      <c r="B244" s="71" t="s">
        <v>354</v>
      </c>
      <c r="C244" s="132" t="s">
        <v>355</v>
      </c>
      <c r="D244" s="51" t="s">
        <v>84</v>
      </c>
      <c r="E244" s="112">
        <v>2.38</v>
      </c>
      <c r="F244" s="4"/>
      <c r="G244" s="59">
        <f t="shared" si="6"/>
        <v>0</v>
      </c>
      <c r="K244" s="93"/>
    </row>
    <row r="245" spans="2:11" s="38" customFormat="1" ht="111.75" customHeight="1" outlineLevel="1">
      <c r="B245" s="71" t="s">
        <v>356</v>
      </c>
      <c r="C245" s="132" t="s">
        <v>357</v>
      </c>
      <c r="D245" s="51" t="s">
        <v>84</v>
      </c>
      <c r="E245" s="112">
        <v>2.75</v>
      </c>
      <c r="F245" s="4"/>
      <c r="G245" s="59">
        <f t="shared" si="6"/>
        <v>0</v>
      </c>
      <c r="K245" s="93"/>
    </row>
    <row r="246" spans="2:11" s="38" customFormat="1" ht="99.75" customHeight="1" outlineLevel="1">
      <c r="B246" s="71" t="s">
        <v>358</v>
      </c>
      <c r="C246" s="132" t="s">
        <v>121</v>
      </c>
      <c r="D246" s="51" t="s">
        <v>84</v>
      </c>
      <c r="E246" s="112">
        <v>5.5</v>
      </c>
      <c r="F246" s="4"/>
      <c r="G246" s="59">
        <f t="shared" si="6"/>
        <v>0</v>
      </c>
      <c r="K246" s="93"/>
    </row>
    <row r="247" spans="2:11" s="38" customFormat="1" outlineLevel="1">
      <c r="B247" s="71"/>
      <c r="C247" s="50"/>
      <c r="D247" s="51"/>
      <c r="E247" s="112"/>
      <c r="F247" s="4"/>
      <c r="G247" s="59">
        <f t="shared" si="6"/>
        <v>0</v>
      </c>
      <c r="K247" s="93"/>
    </row>
    <row r="248" spans="2:11" s="38" customFormat="1">
      <c r="B248" s="71" t="s">
        <v>359</v>
      </c>
      <c r="C248" s="55" t="s">
        <v>123</v>
      </c>
      <c r="D248" s="56"/>
      <c r="E248" s="124">
        <v>0</v>
      </c>
      <c r="F248" s="4"/>
      <c r="G248" s="59">
        <f t="shared" si="6"/>
        <v>0</v>
      </c>
      <c r="K248" s="93"/>
    </row>
    <row r="249" spans="2:11" s="38" customFormat="1" ht="157.5" customHeight="1" outlineLevel="1">
      <c r="B249" s="71" t="s">
        <v>360</v>
      </c>
      <c r="C249" s="132" t="s">
        <v>361</v>
      </c>
      <c r="D249" s="51" t="s">
        <v>75</v>
      </c>
      <c r="E249" s="112">
        <v>2.57</v>
      </c>
      <c r="F249" s="4"/>
      <c r="G249" s="59">
        <f t="shared" si="6"/>
        <v>0</v>
      </c>
      <c r="K249" s="93"/>
    </row>
    <row r="250" spans="2:11" s="38" customFormat="1" ht="178.5" outlineLevel="1">
      <c r="B250" s="71" t="s">
        <v>362</v>
      </c>
      <c r="C250" s="132" t="s">
        <v>363</v>
      </c>
      <c r="D250" s="51" t="s">
        <v>75</v>
      </c>
      <c r="E250" s="112">
        <v>3.38</v>
      </c>
      <c r="F250" s="4"/>
      <c r="G250" s="59">
        <f t="shared" si="6"/>
        <v>0</v>
      </c>
      <c r="K250" s="93"/>
    </row>
    <row r="251" spans="2:11" s="38" customFormat="1" ht="135" customHeight="1" outlineLevel="1">
      <c r="B251" s="71" t="s">
        <v>364</v>
      </c>
      <c r="C251" s="132" t="s">
        <v>365</v>
      </c>
      <c r="D251" s="51" t="s">
        <v>84</v>
      </c>
      <c r="E251" s="112">
        <v>3.03</v>
      </c>
      <c r="F251" s="4"/>
      <c r="G251" s="59">
        <f t="shared" si="6"/>
        <v>0</v>
      </c>
      <c r="K251" s="93"/>
    </row>
    <row r="252" spans="2:11" s="38" customFormat="1" ht="98.25" customHeight="1" outlineLevel="1">
      <c r="B252" s="71" t="s">
        <v>366</v>
      </c>
      <c r="C252" s="132" t="s">
        <v>131</v>
      </c>
      <c r="D252" s="51" t="s">
        <v>75</v>
      </c>
      <c r="E252" s="112">
        <v>6.46</v>
      </c>
      <c r="F252" s="4"/>
      <c r="G252" s="59">
        <f t="shared" si="6"/>
        <v>0</v>
      </c>
      <c r="K252" s="93"/>
    </row>
    <row r="253" spans="2:11" s="38" customFormat="1" ht="99" customHeight="1" outlineLevel="1">
      <c r="B253" s="71" t="s">
        <v>367</v>
      </c>
      <c r="C253" s="132" t="s">
        <v>368</v>
      </c>
      <c r="D253" s="51" t="s">
        <v>75</v>
      </c>
      <c r="E253" s="112">
        <v>2.56</v>
      </c>
      <c r="F253" s="4"/>
      <c r="G253" s="59">
        <f t="shared" si="6"/>
        <v>0</v>
      </c>
      <c r="K253" s="93"/>
    </row>
    <row r="254" spans="2:11" s="38" customFormat="1" ht="103.5" customHeight="1" outlineLevel="1">
      <c r="B254" s="71" t="s">
        <v>369</v>
      </c>
      <c r="C254" s="132" t="s">
        <v>370</v>
      </c>
      <c r="D254" s="51" t="s">
        <v>75</v>
      </c>
      <c r="E254" s="112">
        <v>3.51</v>
      </c>
      <c r="F254" s="4"/>
      <c r="G254" s="59">
        <f t="shared" si="6"/>
        <v>0</v>
      </c>
      <c r="K254" s="93"/>
    </row>
    <row r="255" spans="2:11" s="38" customFormat="1" ht="88.5" customHeight="1" outlineLevel="1">
      <c r="B255" s="71" t="s">
        <v>371</v>
      </c>
      <c r="C255" s="132" t="s">
        <v>137</v>
      </c>
      <c r="D255" s="51" t="s">
        <v>75</v>
      </c>
      <c r="E255" s="112">
        <v>8.65</v>
      </c>
      <c r="F255" s="4"/>
      <c r="G255" s="59">
        <f t="shared" si="6"/>
        <v>0</v>
      </c>
      <c r="K255" s="93"/>
    </row>
    <row r="256" spans="2:11" s="38" customFormat="1" ht="60" customHeight="1" outlineLevel="1">
      <c r="B256" s="71" t="s">
        <v>372</v>
      </c>
      <c r="C256" s="132" t="s">
        <v>139</v>
      </c>
      <c r="D256" s="51" t="s">
        <v>140</v>
      </c>
      <c r="E256" s="112">
        <v>1</v>
      </c>
      <c r="F256" s="4"/>
      <c r="G256" s="59">
        <f t="shared" si="6"/>
        <v>0</v>
      </c>
      <c r="K256" s="93"/>
    </row>
    <row r="257" spans="2:11" s="38" customFormat="1" ht="90.75" customHeight="1" outlineLevel="1">
      <c r="B257" s="71" t="s">
        <v>373</v>
      </c>
      <c r="C257" s="132" t="s">
        <v>142</v>
      </c>
      <c r="D257" s="51" t="s">
        <v>84</v>
      </c>
      <c r="E257" s="112">
        <v>4.375</v>
      </c>
      <c r="F257" s="4"/>
      <c r="G257" s="59">
        <f t="shared" si="6"/>
        <v>0</v>
      </c>
      <c r="K257" s="93"/>
    </row>
    <row r="258" spans="2:11" s="38" customFormat="1" ht="108" customHeight="1" outlineLevel="1">
      <c r="B258" s="71" t="s">
        <v>374</v>
      </c>
      <c r="C258" s="132" t="s">
        <v>144</v>
      </c>
      <c r="D258" s="51" t="s">
        <v>84</v>
      </c>
      <c r="E258" s="112">
        <v>11.67</v>
      </c>
      <c r="F258" s="4"/>
      <c r="G258" s="59">
        <f t="shared" si="6"/>
        <v>0</v>
      </c>
      <c r="K258" s="93"/>
    </row>
    <row r="259" spans="2:11" s="38" customFormat="1" outlineLevel="1">
      <c r="B259" s="71"/>
      <c r="C259" s="50"/>
      <c r="D259" s="51"/>
      <c r="E259" s="112"/>
      <c r="F259" s="4"/>
      <c r="G259" s="59">
        <f t="shared" si="6"/>
        <v>0</v>
      </c>
      <c r="K259" s="93"/>
    </row>
    <row r="260" spans="2:11" s="38" customFormat="1">
      <c r="B260" s="71" t="s">
        <v>375</v>
      </c>
      <c r="C260" s="55" t="s">
        <v>146</v>
      </c>
      <c r="D260" s="56"/>
      <c r="E260" s="124">
        <v>0</v>
      </c>
      <c r="F260" s="4"/>
      <c r="G260" s="59">
        <f t="shared" si="6"/>
        <v>0</v>
      </c>
      <c r="K260" s="93"/>
    </row>
    <row r="261" spans="2:11" s="38" customFormat="1" ht="216.75" outlineLevel="1">
      <c r="B261" s="71" t="s">
        <v>376</v>
      </c>
      <c r="C261" s="130" t="s">
        <v>2637</v>
      </c>
      <c r="D261" s="51" t="s">
        <v>140</v>
      </c>
      <c r="E261" s="112">
        <v>1</v>
      </c>
      <c r="F261" s="4"/>
      <c r="G261" s="59">
        <f t="shared" si="6"/>
        <v>0</v>
      </c>
      <c r="K261" s="93"/>
    </row>
    <row r="262" spans="2:11" s="38" customFormat="1" ht="179.25" customHeight="1" outlineLevel="1">
      <c r="B262" s="71" t="s">
        <v>377</v>
      </c>
      <c r="C262" s="130" t="s">
        <v>149</v>
      </c>
      <c r="D262" s="51" t="s">
        <v>140</v>
      </c>
      <c r="E262" s="112">
        <v>1</v>
      </c>
      <c r="F262" s="4"/>
      <c r="G262" s="59">
        <f t="shared" si="6"/>
        <v>0</v>
      </c>
      <c r="K262" s="93"/>
    </row>
    <row r="263" spans="2:11" s="38" customFormat="1" outlineLevel="1">
      <c r="B263" s="71"/>
      <c r="C263" s="50"/>
      <c r="D263" s="51"/>
      <c r="E263" s="112"/>
      <c r="F263" s="4"/>
      <c r="G263" s="59">
        <f t="shared" si="6"/>
        <v>0</v>
      </c>
      <c r="K263" s="93"/>
    </row>
    <row r="264" spans="2:11" s="38" customFormat="1">
      <c r="B264" s="71" t="s">
        <v>378</v>
      </c>
      <c r="C264" s="55" t="s">
        <v>151</v>
      </c>
      <c r="D264" s="56"/>
      <c r="E264" s="124">
        <v>0</v>
      </c>
      <c r="F264" s="4"/>
      <c r="G264" s="59">
        <f t="shared" si="6"/>
        <v>0</v>
      </c>
      <c r="K264" s="93"/>
    </row>
    <row r="265" spans="2:11" s="38" customFormat="1" ht="53.25" customHeight="1" outlineLevel="1">
      <c r="B265" s="71" t="s">
        <v>379</v>
      </c>
      <c r="C265" s="132" t="s">
        <v>153</v>
      </c>
      <c r="D265" s="51" t="s">
        <v>140</v>
      </c>
      <c r="E265" s="112">
        <v>1</v>
      </c>
      <c r="F265" s="13"/>
      <c r="G265" s="59">
        <f t="shared" si="6"/>
        <v>0</v>
      </c>
      <c r="K265" s="93"/>
    </row>
    <row r="266" spans="2:11" s="38" customFormat="1" ht="56.25" customHeight="1" outlineLevel="1">
      <c r="B266" s="71" t="s">
        <v>380</v>
      </c>
      <c r="C266" s="132" t="s">
        <v>155</v>
      </c>
      <c r="D266" s="51" t="s">
        <v>140</v>
      </c>
      <c r="E266" s="112">
        <v>1</v>
      </c>
      <c r="F266" s="13"/>
      <c r="G266" s="59">
        <f t="shared" si="6"/>
        <v>0</v>
      </c>
      <c r="K266" s="93"/>
    </row>
    <row r="267" spans="2:11" s="38" customFormat="1" outlineLevel="1">
      <c r="B267" s="71"/>
      <c r="C267" s="50"/>
      <c r="D267" s="51"/>
      <c r="E267" s="112"/>
      <c r="F267" s="13"/>
      <c r="G267" s="59">
        <f t="shared" si="6"/>
        <v>0</v>
      </c>
      <c r="K267" s="93"/>
    </row>
    <row r="268" spans="2:11" s="38" customFormat="1">
      <c r="B268" s="71" t="s">
        <v>381</v>
      </c>
      <c r="C268" s="55" t="s">
        <v>157</v>
      </c>
      <c r="D268" s="56"/>
      <c r="E268" s="124">
        <v>0</v>
      </c>
      <c r="F268" s="4">
        <v>0</v>
      </c>
      <c r="G268" s="59">
        <f t="shared" si="6"/>
        <v>0</v>
      </c>
      <c r="K268" s="93"/>
    </row>
    <row r="269" spans="2:11" s="38" customFormat="1" ht="49.5" customHeight="1" outlineLevel="1">
      <c r="B269" s="98"/>
      <c r="C269" s="132" t="s">
        <v>158</v>
      </c>
      <c r="D269" s="51"/>
      <c r="E269" s="112"/>
      <c r="F269" s="4"/>
      <c r="G269" s="59">
        <f t="shared" si="6"/>
        <v>0</v>
      </c>
      <c r="K269" s="93"/>
    </row>
    <row r="270" spans="2:11" s="38" customFormat="1" ht="45.75" customHeight="1" outlineLevel="1">
      <c r="B270" s="71" t="s">
        <v>382</v>
      </c>
      <c r="C270" s="132" t="s">
        <v>160</v>
      </c>
      <c r="D270" s="51" t="s">
        <v>140</v>
      </c>
      <c r="E270" s="112">
        <v>1</v>
      </c>
      <c r="F270" s="4"/>
      <c r="G270" s="59">
        <f t="shared" si="6"/>
        <v>0</v>
      </c>
      <c r="K270" s="100"/>
    </row>
    <row r="271" spans="2:11" s="38" customFormat="1" ht="47.25" customHeight="1" outlineLevel="1">
      <c r="B271" s="71" t="s">
        <v>383</v>
      </c>
      <c r="C271" s="132" t="s">
        <v>162</v>
      </c>
      <c r="D271" s="51" t="s">
        <v>140</v>
      </c>
      <c r="E271" s="112">
        <v>1</v>
      </c>
      <c r="F271" s="4"/>
      <c r="G271" s="59">
        <f t="shared" si="6"/>
        <v>0</v>
      </c>
      <c r="K271" s="100"/>
    </row>
    <row r="272" spans="2:11" s="38" customFormat="1" ht="64.5" customHeight="1" outlineLevel="1">
      <c r="B272" s="71" t="s">
        <v>384</v>
      </c>
      <c r="C272" s="132" t="s">
        <v>164</v>
      </c>
      <c r="D272" s="51" t="s">
        <v>140</v>
      </c>
      <c r="E272" s="112">
        <v>1</v>
      </c>
      <c r="F272" s="4"/>
      <c r="G272" s="59">
        <f t="shared" si="6"/>
        <v>0</v>
      </c>
      <c r="K272" s="100"/>
    </row>
    <row r="273" spans="2:11" s="38" customFormat="1" ht="142.5" customHeight="1" outlineLevel="1">
      <c r="B273" s="71" t="s">
        <v>385</v>
      </c>
      <c r="C273" s="132" t="s">
        <v>386</v>
      </c>
      <c r="D273" s="51" t="s">
        <v>140</v>
      </c>
      <c r="E273" s="112">
        <v>1</v>
      </c>
      <c r="F273" s="4"/>
      <c r="G273" s="59">
        <f t="shared" si="6"/>
        <v>0</v>
      </c>
      <c r="K273" s="100"/>
    </row>
    <row r="274" spans="2:11" s="38" customFormat="1" ht="102.75" customHeight="1" outlineLevel="1">
      <c r="B274" s="71" t="s">
        <v>387</v>
      </c>
      <c r="C274" s="132" t="s">
        <v>388</v>
      </c>
      <c r="D274" s="51" t="s">
        <v>140</v>
      </c>
      <c r="E274" s="112">
        <v>1</v>
      </c>
      <c r="F274" s="4"/>
      <c r="G274" s="59">
        <f t="shared" si="6"/>
        <v>0</v>
      </c>
      <c r="K274" s="100"/>
    </row>
    <row r="275" spans="2:11" s="38" customFormat="1" ht="67.5" customHeight="1" outlineLevel="1">
      <c r="B275" s="71" t="s">
        <v>389</v>
      </c>
      <c r="C275" s="132" t="s">
        <v>170</v>
      </c>
      <c r="D275" s="51" t="s">
        <v>140</v>
      </c>
      <c r="E275" s="112">
        <v>1</v>
      </c>
      <c r="F275" s="4"/>
      <c r="G275" s="59">
        <f t="shared" si="6"/>
        <v>0</v>
      </c>
      <c r="K275" s="100"/>
    </row>
    <row r="276" spans="2:11" s="38" customFormat="1" ht="68.25" customHeight="1" outlineLevel="1">
      <c r="B276" s="71" t="s">
        <v>390</v>
      </c>
      <c r="C276" s="132" t="s">
        <v>172</v>
      </c>
      <c r="D276" s="51" t="s">
        <v>140</v>
      </c>
      <c r="E276" s="112">
        <v>1</v>
      </c>
      <c r="F276" s="4"/>
      <c r="G276" s="59">
        <f t="shared" si="6"/>
        <v>0</v>
      </c>
      <c r="K276" s="100"/>
    </row>
    <row r="277" spans="2:11" s="38" customFormat="1" ht="58.5" customHeight="1" outlineLevel="1">
      <c r="B277" s="71" t="s">
        <v>391</v>
      </c>
      <c r="C277" s="132" t="s">
        <v>174</v>
      </c>
      <c r="D277" s="51" t="s">
        <v>140</v>
      </c>
      <c r="E277" s="112">
        <v>1</v>
      </c>
      <c r="F277" s="4"/>
      <c r="G277" s="59">
        <f t="shared" si="6"/>
        <v>0</v>
      </c>
      <c r="K277" s="100"/>
    </row>
    <row r="278" spans="2:11" s="38" customFormat="1" ht="64.5" customHeight="1" outlineLevel="1">
      <c r="B278" s="71" t="s">
        <v>392</v>
      </c>
      <c r="C278" s="132" t="s">
        <v>2638</v>
      </c>
      <c r="D278" s="51" t="s">
        <v>140</v>
      </c>
      <c r="E278" s="112">
        <v>1</v>
      </c>
      <c r="F278" s="4"/>
      <c r="G278" s="59">
        <f t="shared" ref="G278:G293" si="7">E278*F278</f>
        <v>0</v>
      </c>
      <c r="K278" s="100"/>
    </row>
    <row r="279" spans="2:11" s="38" customFormat="1" ht="51.75" customHeight="1" outlineLevel="1">
      <c r="B279" s="71" t="s">
        <v>393</v>
      </c>
      <c r="C279" s="132" t="s">
        <v>177</v>
      </c>
      <c r="D279" s="51" t="s">
        <v>140</v>
      </c>
      <c r="E279" s="112">
        <v>1</v>
      </c>
      <c r="F279" s="4"/>
      <c r="G279" s="59">
        <f t="shared" si="7"/>
        <v>0</v>
      </c>
      <c r="K279" s="100"/>
    </row>
    <row r="280" spans="2:11" s="38" customFormat="1" ht="73.5" customHeight="1" outlineLevel="1">
      <c r="B280" s="71" t="s">
        <v>394</v>
      </c>
      <c r="C280" s="132" t="s">
        <v>179</v>
      </c>
      <c r="D280" s="51" t="s">
        <v>140</v>
      </c>
      <c r="E280" s="112">
        <v>1</v>
      </c>
      <c r="F280" s="4"/>
      <c r="G280" s="59">
        <f t="shared" si="7"/>
        <v>0</v>
      </c>
      <c r="K280" s="100"/>
    </row>
    <row r="281" spans="2:11" s="38" customFormat="1" ht="64.5" customHeight="1" outlineLevel="1">
      <c r="B281" s="71" t="s">
        <v>395</v>
      </c>
      <c r="C281" s="132" t="s">
        <v>181</v>
      </c>
      <c r="D281" s="51" t="s">
        <v>140</v>
      </c>
      <c r="E281" s="112">
        <v>1</v>
      </c>
      <c r="F281" s="4"/>
      <c r="G281" s="59">
        <f t="shared" si="7"/>
        <v>0</v>
      </c>
      <c r="K281" s="100"/>
    </row>
    <row r="282" spans="2:11" s="38" customFormat="1" ht="46.5" customHeight="1" outlineLevel="1">
      <c r="B282" s="71" t="s">
        <v>396</v>
      </c>
      <c r="C282" s="132" t="s">
        <v>183</v>
      </c>
      <c r="D282" s="51" t="s">
        <v>140</v>
      </c>
      <c r="E282" s="112">
        <v>1</v>
      </c>
      <c r="F282" s="4"/>
      <c r="G282" s="59">
        <f t="shared" si="7"/>
        <v>0</v>
      </c>
      <c r="K282" s="100"/>
    </row>
    <row r="283" spans="2:11" s="38" customFormat="1" ht="50.25" customHeight="1" outlineLevel="1">
      <c r="B283" s="71" t="s">
        <v>397</v>
      </c>
      <c r="C283" s="132" t="s">
        <v>185</v>
      </c>
      <c r="D283" s="51" t="s">
        <v>140</v>
      </c>
      <c r="E283" s="112">
        <v>2</v>
      </c>
      <c r="F283" s="4">
        <v>0</v>
      </c>
      <c r="G283" s="59">
        <f t="shared" si="7"/>
        <v>0</v>
      </c>
      <c r="K283" s="100"/>
    </row>
    <row r="284" spans="2:11" s="38" customFormat="1" ht="55.5" customHeight="1" outlineLevel="1">
      <c r="B284" s="71" t="s">
        <v>398</v>
      </c>
      <c r="C284" s="132" t="s">
        <v>187</v>
      </c>
      <c r="D284" s="51" t="s">
        <v>140</v>
      </c>
      <c r="E284" s="112">
        <v>1</v>
      </c>
      <c r="F284" s="4">
        <v>0</v>
      </c>
      <c r="G284" s="59">
        <f t="shared" si="7"/>
        <v>0</v>
      </c>
      <c r="K284" s="100"/>
    </row>
    <row r="285" spans="2:11" s="38" customFormat="1" ht="57.75" customHeight="1" outlineLevel="1">
      <c r="B285" s="71" t="s">
        <v>399</v>
      </c>
      <c r="C285" s="132" t="s">
        <v>189</v>
      </c>
      <c r="D285" s="51" t="s">
        <v>140</v>
      </c>
      <c r="E285" s="112">
        <v>2</v>
      </c>
      <c r="F285" s="4">
        <v>0</v>
      </c>
      <c r="G285" s="59">
        <f t="shared" si="7"/>
        <v>0</v>
      </c>
      <c r="K285" s="100"/>
    </row>
    <row r="286" spans="2:11" s="38" customFormat="1" ht="25.5" outlineLevel="1">
      <c r="B286" s="71" t="s">
        <v>400</v>
      </c>
      <c r="C286" s="132" t="s">
        <v>191</v>
      </c>
      <c r="D286" s="51" t="s">
        <v>140</v>
      </c>
      <c r="E286" s="112">
        <v>1</v>
      </c>
      <c r="F286" s="4">
        <v>0</v>
      </c>
      <c r="G286" s="59">
        <f t="shared" si="7"/>
        <v>0</v>
      </c>
      <c r="K286" s="100"/>
    </row>
    <row r="287" spans="2:11" s="38" customFormat="1" ht="51.75" customHeight="1" outlineLevel="1">
      <c r="B287" s="71" t="s">
        <v>401</v>
      </c>
      <c r="C287" s="132" t="s">
        <v>193</v>
      </c>
      <c r="D287" s="51" t="s">
        <v>140</v>
      </c>
      <c r="E287" s="112">
        <v>1</v>
      </c>
      <c r="F287" s="4"/>
      <c r="G287" s="59">
        <f t="shared" si="7"/>
        <v>0</v>
      </c>
      <c r="K287" s="100"/>
    </row>
    <row r="288" spans="2:11" s="38" customFormat="1" ht="170.25" customHeight="1" outlineLevel="1">
      <c r="B288" s="71" t="s">
        <v>402</v>
      </c>
      <c r="C288" s="132" t="s">
        <v>195</v>
      </c>
      <c r="D288" s="51" t="s">
        <v>140</v>
      </c>
      <c r="E288" s="112">
        <v>1</v>
      </c>
      <c r="F288" s="4">
        <v>0</v>
      </c>
      <c r="G288" s="59">
        <f t="shared" si="7"/>
        <v>0</v>
      </c>
      <c r="K288" s="100"/>
    </row>
    <row r="289" spans="2:11" s="38" customFormat="1" ht="74.25" customHeight="1" outlineLevel="1">
      <c r="B289" s="71" t="s">
        <v>403</v>
      </c>
      <c r="C289" s="132" t="s">
        <v>197</v>
      </c>
      <c r="D289" s="51" t="s">
        <v>140</v>
      </c>
      <c r="E289" s="112">
        <v>1</v>
      </c>
      <c r="F289" s="4"/>
      <c r="G289" s="59">
        <f t="shared" si="7"/>
        <v>0</v>
      </c>
      <c r="K289" s="100"/>
    </row>
    <row r="290" spans="2:11" s="38" customFormat="1" ht="108" customHeight="1" outlineLevel="1">
      <c r="B290" s="71" t="s">
        <v>404</v>
      </c>
      <c r="C290" s="132" t="s">
        <v>2626</v>
      </c>
      <c r="D290" s="51" t="s">
        <v>140</v>
      </c>
      <c r="E290" s="112">
        <v>1</v>
      </c>
      <c r="F290" s="4"/>
      <c r="G290" s="59">
        <f t="shared" si="7"/>
        <v>0</v>
      </c>
      <c r="K290" s="93"/>
    </row>
    <row r="291" spans="2:11" s="38" customFormat="1" ht="99" customHeight="1" outlineLevel="1">
      <c r="B291" s="71" t="s">
        <v>405</v>
      </c>
      <c r="C291" s="132" t="s">
        <v>406</v>
      </c>
      <c r="D291" s="51" t="s">
        <v>140</v>
      </c>
      <c r="E291" s="112">
        <v>1</v>
      </c>
      <c r="F291" s="4"/>
      <c r="G291" s="59">
        <f t="shared" si="7"/>
        <v>0</v>
      </c>
      <c r="K291" s="93"/>
    </row>
    <row r="292" spans="2:11" s="38" customFormat="1" outlineLevel="1">
      <c r="B292" s="71"/>
      <c r="C292" s="50"/>
      <c r="D292" s="51"/>
      <c r="E292" s="112"/>
      <c r="F292" s="4"/>
      <c r="G292" s="59">
        <f t="shared" si="7"/>
        <v>0</v>
      </c>
      <c r="K292" s="93"/>
    </row>
    <row r="293" spans="2:11" s="38" customFormat="1">
      <c r="B293" s="71" t="s">
        <v>407</v>
      </c>
      <c r="C293" s="55" t="s">
        <v>202</v>
      </c>
      <c r="D293" s="56"/>
      <c r="E293" s="124">
        <v>0</v>
      </c>
      <c r="F293" s="4"/>
      <c r="G293" s="59">
        <f t="shared" si="7"/>
        <v>0</v>
      </c>
      <c r="K293" s="100"/>
    </row>
    <row r="294" spans="2:11" s="38" customFormat="1" ht="63.75" outlineLevel="1">
      <c r="B294" s="71" t="s">
        <v>408</v>
      </c>
      <c r="C294" s="132" t="s">
        <v>204</v>
      </c>
      <c r="D294" s="51" t="s">
        <v>84</v>
      </c>
      <c r="E294" s="112">
        <v>1.76</v>
      </c>
      <c r="F294" s="4"/>
      <c r="G294" s="59">
        <f>E294*F294</f>
        <v>0</v>
      </c>
      <c r="K294" s="100"/>
    </row>
    <row r="295" spans="2:11" s="38" customFormat="1">
      <c r="B295" s="71"/>
      <c r="C295" s="55"/>
      <c r="D295" s="56"/>
      <c r="E295" s="124"/>
      <c r="F295" s="4"/>
      <c r="G295" s="4"/>
      <c r="K295" s="100"/>
    </row>
    <row r="296" spans="2:11" s="38" customFormat="1">
      <c r="B296" s="72" t="s">
        <v>409</v>
      </c>
      <c r="C296" s="52"/>
      <c r="D296" s="15"/>
      <c r="E296" s="122"/>
      <c r="F296" s="54"/>
      <c r="G296" s="58">
        <f>SUM(G187:G295)</f>
        <v>0</v>
      </c>
      <c r="K296" s="93"/>
    </row>
    <row r="297" spans="2:11" s="38" customFormat="1" outlineLevel="1">
      <c r="B297" s="71"/>
      <c r="C297" s="50"/>
      <c r="D297" s="51"/>
      <c r="E297" s="112"/>
      <c r="F297" s="4"/>
      <c r="G297" s="59"/>
      <c r="K297" s="100"/>
    </row>
    <row r="298" spans="2:11" s="38" customFormat="1">
      <c r="B298" s="114" t="s">
        <v>410</v>
      </c>
      <c r="C298" s="52"/>
      <c r="D298" s="15"/>
      <c r="E298" s="122"/>
      <c r="F298" s="54"/>
      <c r="G298" s="58"/>
      <c r="K298" s="93"/>
    </row>
    <row r="299" spans="2:11" s="38" customFormat="1" ht="38.25">
      <c r="B299" s="116"/>
      <c r="C299" s="55" t="s">
        <v>207</v>
      </c>
      <c r="D299" s="11" t="s">
        <v>140</v>
      </c>
      <c r="E299" s="112">
        <v>20</v>
      </c>
      <c r="F299" s="13"/>
      <c r="G299" s="113">
        <f>E299*G296</f>
        <v>0</v>
      </c>
      <c r="K299" s="93"/>
    </row>
    <row r="300" spans="2:11" s="38" customFormat="1" outlineLevel="1">
      <c r="B300" s="71"/>
      <c r="C300" s="50"/>
      <c r="D300" s="51"/>
      <c r="E300" s="112"/>
      <c r="F300" s="4"/>
      <c r="G300" s="59"/>
      <c r="K300" s="100"/>
    </row>
    <row r="301" spans="2:11" s="38" customFormat="1">
      <c r="B301" s="72">
        <v>3.4</v>
      </c>
      <c r="C301" s="70" t="s">
        <v>411</v>
      </c>
      <c r="D301" s="49"/>
      <c r="E301" s="123">
        <v>0</v>
      </c>
      <c r="F301" s="54">
        <v>0</v>
      </c>
      <c r="G301" s="58"/>
      <c r="K301" s="93"/>
    </row>
    <row r="302" spans="2:11" s="38" customFormat="1">
      <c r="B302" s="116"/>
      <c r="C302" s="55"/>
      <c r="D302" s="56"/>
      <c r="E302" s="124"/>
      <c r="F302" s="13"/>
      <c r="G302" s="59">
        <f t="shared" ref="G302:G365" si="8">E302*F302</f>
        <v>0</v>
      </c>
      <c r="K302" s="93"/>
    </row>
    <row r="303" spans="2:11" s="38" customFormat="1" ht="45" customHeight="1">
      <c r="B303" s="116"/>
      <c r="C303" s="50" t="s">
        <v>60</v>
      </c>
      <c r="D303" s="56"/>
      <c r="E303" s="124"/>
      <c r="F303" s="13"/>
      <c r="G303" s="59">
        <f t="shared" si="8"/>
        <v>0</v>
      </c>
      <c r="K303" s="93"/>
    </row>
    <row r="304" spans="2:11" s="38" customFormat="1">
      <c r="B304" s="116"/>
      <c r="C304" s="55"/>
      <c r="D304" s="56"/>
      <c r="E304" s="124"/>
      <c r="F304" s="13"/>
      <c r="G304" s="59">
        <f t="shared" si="8"/>
        <v>0</v>
      </c>
      <c r="K304" s="93"/>
    </row>
    <row r="305" spans="2:11" s="38" customFormat="1">
      <c r="B305" s="71" t="s">
        <v>412</v>
      </c>
      <c r="C305" s="55" t="s">
        <v>62</v>
      </c>
      <c r="D305" s="56"/>
      <c r="E305" s="124">
        <v>0</v>
      </c>
      <c r="F305" s="13">
        <v>0</v>
      </c>
      <c r="G305" s="59">
        <f t="shared" si="8"/>
        <v>0</v>
      </c>
      <c r="K305" s="93"/>
    </row>
    <row r="306" spans="2:11" s="38" customFormat="1" ht="219.75" customHeight="1" outlineLevel="1">
      <c r="B306" s="71" t="s">
        <v>413</v>
      </c>
      <c r="C306" s="132" t="s">
        <v>64</v>
      </c>
      <c r="D306" s="51" t="s">
        <v>38</v>
      </c>
      <c r="E306" s="112">
        <v>1</v>
      </c>
      <c r="F306" s="4"/>
      <c r="G306" s="59">
        <f>E306*F306</f>
        <v>0</v>
      </c>
      <c r="K306" s="93"/>
    </row>
    <row r="307" spans="2:11" s="38" customFormat="1">
      <c r="B307" s="71" t="s">
        <v>414</v>
      </c>
      <c r="C307" s="55" t="s">
        <v>66</v>
      </c>
      <c r="D307" s="56"/>
      <c r="E307" s="124">
        <v>0</v>
      </c>
      <c r="F307" s="13"/>
      <c r="G307" s="59">
        <f t="shared" si="8"/>
        <v>0</v>
      </c>
      <c r="K307" s="93"/>
    </row>
    <row r="308" spans="2:11" s="38" customFormat="1" ht="51" customHeight="1" outlineLevel="1">
      <c r="B308" s="71" t="s">
        <v>415</v>
      </c>
      <c r="C308" s="132" t="s">
        <v>68</v>
      </c>
      <c r="D308" s="51" t="s">
        <v>38</v>
      </c>
      <c r="E308" s="112">
        <v>1</v>
      </c>
      <c r="F308" s="4"/>
      <c r="G308" s="59">
        <f t="shared" si="8"/>
        <v>0</v>
      </c>
      <c r="K308" s="100"/>
    </row>
    <row r="309" spans="2:11" s="38" customFormat="1" ht="51" customHeight="1" outlineLevel="1">
      <c r="B309" s="71" t="s">
        <v>416</v>
      </c>
      <c r="C309" s="132" t="s">
        <v>70</v>
      </c>
      <c r="D309" s="51" t="s">
        <v>38</v>
      </c>
      <c r="E309" s="112">
        <v>1</v>
      </c>
      <c r="F309" s="4"/>
      <c r="G309" s="59">
        <f t="shared" si="8"/>
        <v>0</v>
      </c>
      <c r="K309" s="100"/>
    </row>
    <row r="310" spans="2:11" s="38" customFormat="1">
      <c r="B310" s="71" t="s">
        <v>417</v>
      </c>
      <c r="C310" s="55" t="s">
        <v>72</v>
      </c>
      <c r="D310" s="56"/>
      <c r="E310" s="124">
        <v>0</v>
      </c>
      <c r="F310" s="4">
        <v>0</v>
      </c>
      <c r="G310" s="59">
        <f t="shared" si="8"/>
        <v>0</v>
      </c>
      <c r="K310" s="93"/>
    </row>
    <row r="311" spans="2:11" s="38" customFormat="1" ht="124.5" customHeight="1" outlineLevel="1">
      <c r="B311" s="71" t="s">
        <v>418</v>
      </c>
      <c r="C311" s="132" t="s">
        <v>324</v>
      </c>
      <c r="D311" s="51" t="s">
        <v>75</v>
      </c>
      <c r="E311" s="112">
        <v>36.92</v>
      </c>
      <c r="F311" s="4"/>
      <c r="G311" s="59">
        <f t="shared" si="8"/>
        <v>0</v>
      </c>
      <c r="K311" s="93"/>
    </row>
    <row r="312" spans="2:11" s="38" customFormat="1" ht="76.5" customHeight="1" outlineLevel="1">
      <c r="B312" s="71" t="s">
        <v>419</v>
      </c>
      <c r="C312" s="132" t="s">
        <v>77</v>
      </c>
      <c r="D312" s="51" t="s">
        <v>75</v>
      </c>
      <c r="E312" s="112">
        <v>12.6</v>
      </c>
      <c r="F312" s="4"/>
      <c r="G312" s="59">
        <f t="shared" si="8"/>
        <v>0</v>
      </c>
      <c r="K312" s="93"/>
    </row>
    <row r="313" spans="2:11" s="38" customFormat="1" ht="75" customHeight="1" outlineLevel="1">
      <c r="B313" s="71" t="s">
        <v>420</v>
      </c>
      <c r="C313" s="132" t="s">
        <v>327</v>
      </c>
      <c r="D313" s="51" t="s">
        <v>75</v>
      </c>
      <c r="E313" s="112">
        <v>41.13</v>
      </c>
      <c r="F313" s="57"/>
      <c r="G313" s="59">
        <f t="shared" si="8"/>
        <v>0</v>
      </c>
      <c r="K313" s="93"/>
    </row>
    <row r="314" spans="2:11" s="38" customFormat="1" ht="105" customHeight="1" outlineLevel="1">
      <c r="B314" s="71" t="s">
        <v>421</v>
      </c>
      <c r="C314" s="132" t="s">
        <v>329</v>
      </c>
      <c r="D314" s="51" t="s">
        <v>75</v>
      </c>
      <c r="E314" s="112">
        <v>2.67</v>
      </c>
      <c r="F314" s="4"/>
      <c r="G314" s="59">
        <f t="shared" si="8"/>
        <v>0</v>
      </c>
      <c r="K314" s="93"/>
    </row>
    <row r="315" spans="2:11" s="38" customFormat="1" ht="78.75" customHeight="1" outlineLevel="1">
      <c r="B315" s="71" t="s">
        <v>422</v>
      </c>
      <c r="C315" s="132" t="s">
        <v>331</v>
      </c>
      <c r="D315" s="51" t="s">
        <v>84</v>
      </c>
      <c r="E315" s="112">
        <v>1.8</v>
      </c>
      <c r="F315" s="4"/>
      <c r="G315" s="59">
        <f t="shared" si="8"/>
        <v>0</v>
      </c>
      <c r="K315" s="93"/>
    </row>
    <row r="316" spans="2:11" s="38" customFormat="1" ht="42.75" customHeight="1" outlineLevel="1">
      <c r="B316" s="71" t="s">
        <v>423</v>
      </c>
      <c r="C316" s="132" t="s">
        <v>221</v>
      </c>
      <c r="D316" s="51" t="s">
        <v>84</v>
      </c>
      <c r="E316" s="112">
        <v>15.55</v>
      </c>
      <c r="F316" s="4"/>
      <c r="G316" s="59">
        <f t="shared" si="8"/>
        <v>0</v>
      </c>
      <c r="K316" s="93"/>
    </row>
    <row r="317" spans="2:11" s="38" customFormat="1" ht="38.25" outlineLevel="1">
      <c r="B317" s="71" t="s">
        <v>424</v>
      </c>
      <c r="C317" s="132" t="s">
        <v>223</v>
      </c>
      <c r="D317" s="51" t="s">
        <v>84</v>
      </c>
      <c r="E317" s="112">
        <v>14.84</v>
      </c>
      <c r="F317" s="4"/>
      <c r="G317" s="59">
        <f t="shared" si="8"/>
        <v>0</v>
      </c>
      <c r="K317" s="93"/>
    </row>
    <row r="318" spans="2:11" s="38" customFormat="1" ht="114.75" outlineLevel="1">
      <c r="B318" s="71" t="s">
        <v>425</v>
      </c>
      <c r="C318" s="130" t="s">
        <v>335</v>
      </c>
      <c r="D318" s="51" t="s">
        <v>91</v>
      </c>
      <c r="E318" s="112">
        <v>1</v>
      </c>
      <c r="F318" s="4"/>
      <c r="G318" s="59">
        <f t="shared" si="8"/>
        <v>0</v>
      </c>
      <c r="K318" s="93"/>
    </row>
    <row r="319" spans="2:11" s="38" customFormat="1">
      <c r="B319" s="71" t="s">
        <v>426</v>
      </c>
      <c r="C319" s="55" t="s">
        <v>93</v>
      </c>
      <c r="D319" s="56"/>
      <c r="E319" s="124">
        <v>0</v>
      </c>
      <c r="F319" s="4">
        <v>0</v>
      </c>
      <c r="G319" s="59">
        <f t="shared" si="8"/>
        <v>0</v>
      </c>
      <c r="K319" s="93"/>
    </row>
    <row r="320" spans="2:11" s="38" customFormat="1" ht="83.25" customHeight="1" outlineLevel="1">
      <c r="B320" s="71" t="s">
        <v>427</v>
      </c>
      <c r="C320" s="132" t="s">
        <v>97</v>
      </c>
      <c r="D320" s="51" t="s">
        <v>75</v>
      </c>
      <c r="E320" s="112">
        <v>14.38</v>
      </c>
      <c r="F320" s="4"/>
      <c r="G320" s="59">
        <f t="shared" si="8"/>
        <v>0</v>
      </c>
      <c r="K320" s="93"/>
    </row>
    <row r="321" spans="2:11" s="38" customFormat="1" ht="100.5" customHeight="1" outlineLevel="1">
      <c r="B321" s="71" t="s">
        <v>428</v>
      </c>
      <c r="C321" s="132" t="s">
        <v>99</v>
      </c>
      <c r="D321" s="51" t="s">
        <v>75</v>
      </c>
      <c r="E321" s="112">
        <v>83.31</v>
      </c>
      <c r="F321" s="4"/>
      <c r="G321" s="59">
        <f t="shared" si="8"/>
        <v>0</v>
      </c>
      <c r="K321" s="93"/>
    </row>
    <row r="322" spans="2:11" s="38" customFormat="1" ht="136.5" customHeight="1" outlineLevel="1">
      <c r="B322" s="71" t="s">
        <v>429</v>
      </c>
      <c r="C322" s="132" t="s">
        <v>340</v>
      </c>
      <c r="D322" s="51" t="s">
        <v>75</v>
      </c>
      <c r="E322" s="112">
        <v>1.51</v>
      </c>
      <c r="F322" s="4"/>
      <c r="G322" s="59">
        <f t="shared" si="8"/>
        <v>0</v>
      </c>
      <c r="K322" s="93"/>
    </row>
    <row r="323" spans="2:11" s="38" customFormat="1" ht="108.75" customHeight="1" outlineLevel="1">
      <c r="B323" s="71" t="s">
        <v>430</v>
      </c>
      <c r="C323" s="132" t="s">
        <v>103</v>
      </c>
      <c r="D323" s="115"/>
      <c r="E323" s="112">
        <v>5.52</v>
      </c>
      <c r="G323" s="59">
        <f t="shared" si="8"/>
        <v>0</v>
      </c>
      <c r="K323" s="93"/>
    </row>
    <row r="324" spans="2:11" s="38" customFormat="1" ht="148.5" customHeight="1" outlineLevel="1">
      <c r="B324" s="71" t="s">
        <v>431</v>
      </c>
      <c r="C324" s="130" t="s">
        <v>343</v>
      </c>
      <c r="D324" s="51" t="s">
        <v>75</v>
      </c>
      <c r="E324" s="112">
        <v>7.78</v>
      </c>
      <c r="F324" s="4"/>
      <c r="G324" s="59">
        <f t="shared" si="8"/>
        <v>0</v>
      </c>
      <c r="K324" s="93"/>
    </row>
    <row r="325" spans="2:11" s="38" customFormat="1" ht="145.5" customHeight="1" outlineLevel="1">
      <c r="B325" s="71" t="s">
        <v>432</v>
      </c>
      <c r="C325" s="132" t="s">
        <v>234</v>
      </c>
      <c r="D325" s="51" t="s">
        <v>75</v>
      </c>
      <c r="E325" s="112">
        <v>9.76</v>
      </c>
      <c r="F325" s="4"/>
      <c r="G325" s="59">
        <f t="shared" si="8"/>
        <v>0</v>
      </c>
      <c r="K325" s="93"/>
    </row>
    <row r="326" spans="2:11" s="38" customFormat="1" ht="165.75" outlineLevel="1">
      <c r="B326" s="71" t="s">
        <v>433</v>
      </c>
      <c r="C326" s="130" t="s">
        <v>2618</v>
      </c>
      <c r="D326" s="51" t="s">
        <v>75</v>
      </c>
      <c r="E326" s="112">
        <v>3.52</v>
      </c>
      <c r="F326" s="4"/>
      <c r="G326" s="59">
        <f t="shared" si="8"/>
        <v>0</v>
      </c>
      <c r="K326" s="93"/>
    </row>
    <row r="327" spans="2:11" s="38" customFormat="1" ht="87" customHeight="1" outlineLevel="1">
      <c r="B327" s="71" t="s">
        <v>434</v>
      </c>
      <c r="C327" s="132" t="s">
        <v>435</v>
      </c>
      <c r="D327" s="51" t="s">
        <v>75</v>
      </c>
      <c r="E327" s="112">
        <v>38.409999999999997</v>
      </c>
      <c r="F327" s="4"/>
      <c r="G327" s="59">
        <f t="shared" si="8"/>
        <v>0</v>
      </c>
      <c r="K327" s="93"/>
    </row>
    <row r="328" spans="2:11" s="38" customFormat="1" ht="88.5" customHeight="1" outlineLevel="1">
      <c r="B328" s="71" t="s">
        <v>436</v>
      </c>
      <c r="C328" s="132" t="s">
        <v>437</v>
      </c>
      <c r="D328" s="51" t="s">
        <v>75</v>
      </c>
      <c r="E328" s="112">
        <v>37.4</v>
      </c>
      <c r="F328" s="4"/>
      <c r="G328" s="59">
        <f t="shared" si="8"/>
        <v>0</v>
      </c>
      <c r="K328" s="93"/>
    </row>
    <row r="329" spans="2:11" s="38" customFormat="1" ht="102.75" customHeight="1" outlineLevel="1">
      <c r="B329" s="71" t="s">
        <v>438</v>
      </c>
      <c r="C329" s="132" t="s">
        <v>353</v>
      </c>
      <c r="D329" s="51" t="s">
        <v>75</v>
      </c>
      <c r="E329" s="112">
        <v>5.53</v>
      </c>
      <c r="F329" s="4"/>
      <c r="G329" s="59">
        <f t="shared" si="8"/>
        <v>0</v>
      </c>
      <c r="K329" s="93"/>
    </row>
    <row r="330" spans="2:11" s="38" customFormat="1" ht="101.25" customHeight="1" outlineLevel="1">
      <c r="B330" s="71" t="s">
        <v>439</v>
      </c>
      <c r="C330" s="132" t="s">
        <v>440</v>
      </c>
      <c r="D330" s="51" t="s">
        <v>84</v>
      </c>
      <c r="E330" s="112">
        <v>9.52</v>
      </c>
      <c r="F330" s="4"/>
      <c r="G330" s="59">
        <f t="shared" si="8"/>
        <v>0</v>
      </c>
      <c r="K330" s="93"/>
    </row>
    <row r="331" spans="2:11" s="38" customFormat="1" ht="89.25" outlineLevel="1">
      <c r="B331" s="71" t="s">
        <v>441</v>
      </c>
      <c r="C331" s="132" t="s">
        <v>442</v>
      </c>
      <c r="D331" s="51" t="s">
        <v>84</v>
      </c>
      <c r="E331" s="112">
        <v>8.25</v>
      </c>
      <c r="F331" s="4"/>
      <c r="G331" s="59">
        <f t="shared" si="8"/>
        <v>0</v>
      </c>
      <c r="K331" s="93"/>
    </row>
    <row r="332" spans="2:11" s="38" customFormat="1" ht="102.75" customHeight="1" outlineLevel="1">
      <c r="B332" s="71" t="s">
        <v>443</v>
      </c>
      <c r="C332" s="132" t="s">
        <v>444</v>
      </c>
      <c r="D332" s="51" t="s">
        <v>84</v>
      </c>
      <c r="E332" s="112">
        <v>4.76</v>
      </c>
      <c r="F332" s="4"/>
      <c r="G332" s="59">
        <f t="shared" si="8"/>
        <v>0</v>
      </c>
      <c r="K332" s="93"/>
    </row>
    <row r="333" spans="2:11" s="38" customFormat="1" ht="101.25" customHeight="1" outlineLevel="1">
      <c r="B333" s="71" t="s">
        <v>445</v>
      </c>
      <c r="C333" s="132" t="s">
        <v>248</v>
      </c>
      <c r="D333" s="51" t="s">
        <v>84</v>
      </c>
      <c r="E333" s="112">
        <v>5.5</v>
      </c>
      <c r="F333" s="4"/>
      <c r="G333" s="59">
        <f t="shared" si="8"/>
        <v>0</v>
      </c>
      <c r="K333" s="93"/>
    </row>
    <row r="334" spans="2:11" s="38" customFormat="1" outlineLevel="1">
      <c r="B334" s="71"/>
      <c r="C334" s="50"/>
      <c r="D334" s="51"/>
      <c r="E334" s="112"/>
      <c r="F334" s="4"/>
      <c r="G334" s="59">
        <f t="shared" si="8"/>
        <v>0</v>
      </c>
      <c r="K334" s="93"/>
    </row>
    <row r="335" spans="2:11" s="38" customFormat="1">
      <c r="B335" s="71" t="s">
        <v>446</v>
      </c>
      <c r="C335" s="55" t="s">
        <v>123</v>
      </c>
      <c r="D335" s="56"/>
      <c r="E335" s="124">
        <v>0</v>
      </c>
      <c r="F335" s="4"/>
      <c r="G335" s="59">
        <f t="shared" si="8"/>
        <v>0</v>
      </c>
      <c r="K335" s="93"/>
    </row>
    <row r="336" spans="2:11" s="38" customFormat="1" ht="150.75" customHeight="1" outlineLevel="1">
      <c r="B336" s="71" t="s">
        <v>447</v>
      </c>
      <c r="C336" s="132" t="s">
        <v>361</v>
      </c>
      <c r="D336" s="51" t="s">
        <v>75</v>
      </c>
      <c r="E336" s="112">
        <v>11.44</v>
      </c>
      <c r="F336" s="4"/>
      <c r="G336" s="59">
        <f t="shared" si="8"/>
        <v>0</v>
      </c>
      <c r="K336" s="93"/>
    </row>
    <row r="337" spans="2:11" s="38" customFormat="1" ht="192" customHeight="1" outlineLevel="1">
      <c r="B337" s="71" t="s">
        <v>448</v>
      </c>
      <c r="C337" s="132" t="s">
        <v>363</v>
      </c>
      <c r="D337" s="51" t="s">
        <v>75</v>
      </c>
      <c r="E337" s="112">
        <v>4.2</v>
      </c>
      <c r="F337" s="4"/>
      <c r="G337" s="59">
        <f t="shared" si="8"/>
        <v>0</v>
      </c>
      <c r="K337" s="93"/>
    </row>
    <row r="338" spans="2:11" s="38" customFormat="1" ht="134.25" customHeight="1" outlineLevel="1">
      <c r="B338" s="71" t="s">
        <v>449</v>
      </c>
      <c r="C338" s="132" t="s">
        <v>365</v>
      </c>
      <c r="D338" s="51" t="s">
        <v>84</v>
      </c>
      <c r="E338" s="112">
        <v>2.96</v>
      </c>
      <c r="F338" s="4"/>
      <c r="G338" s="59">
        <f t="shared" si="8"/>
        <v>0</v>
      </c>
      <c r="K338" s="93"/>
    </row>
    <row r="339" spans="2:11" s="38" customFormat="1" ht="99" customHeight="1" outlineLevel="1">
      <c r="B339" s="71" t="s">
        <v>450</v>
      </c>
      <c r="C339" s="132" t="s">
        <v>254</v>
      </c>
      <c r="D339" s="51" t="s">
        <v>75</v>
      </c>
      <c r="E339" s="112">
        <v>21.74</v>
      </c>
      <c r="F339" s="4"/>
      <c r="G339" s="59">
        <f t="shared" si="8"/>
        <v>0</v>
      </c>
      <c r="K339" s="93"/>
    </row>
    <row r="340" spans="2:11" s="38" customFormat="1" ht="102.75" customHeight="1" outlineLevel="1">
      <c r="B340" s="71" t="s">
        <v>451</v>
      </c>
      <c r="C340" s="132" t="s">
        <v>452</v>
      </c>
      <c r="D340" s="51" t="s">
        <v>75</v>
      </c>
      <c r="E340" s="112">
        <v>11.44</v>
      </c>
      <c r="F340" s="4"/>
      <c r="G340" s="59">
        <f t="shared" si="8"/>
        <v>0</v>
      </c>
      <c r="K340" s="93"/>
    </row>
    <row r="341" spans="2:11" s="38" customFormat="1" ht="100.5" customHeight="1" outlineLevel="1">
      <c r="B341" s="71" t="s">
        <v>453</v>
      </c>
      <c r="C341" s="132" t="s">
        <v>370</v>
      </c>
      <c r="D341" s="51" t="s">
        <v>75</v>
      </c>
      <c r="E341" s="112">
        <v>4.2</v>
      </c>
      <c r="F341" s="4"/>
      <c r="G341" s="59">
        <f t="shared" si="8"/>
        <v>0</v>
      </c>
      <c r="K341" s="93"/>
    </row>
    <row r="342" spans="2:11" s="38" customFormat="1" ht="93" customHeight="1" outlineLevel="1">
      <c r="B342" s="71" t="s">
        <v>454</v>
      </c>
      <c r="C342" s="132" t="s">
        <v>260</v>
      </c>
      <c r="D342" s="51" t="s">
        <v>75</v>
      </c>
      <c r="E342" s="112">
        <v>7.73</v>
      </c>
      <c r="F342" s="4"/>
      <c r="G342" s="59">
        <f t="shared" si="8"/>
        <v>0</v>
      </c>
      <c r="K342" s="93"/>
    </row>
    <row r="343" spans="2:11" s="38" customFormat="1" ht="93" customHeight="1" outlineLevel="1">
      <c r="B343" s="71" t="s">
        <v>455</v>
      </c>
      <c r="C343" s="132" t="s">
        <v>139</v>
      </c>
      <c r="D343" s="51" t="s">
        <v>140</v>
      </c>
      <c r="E343" s="112">
        <v>1</v>
      </c>
      <c r="F343" s="4"/>
      <c r="G343" s="59">
        <f t="shared" si="8"/>
        <v>0</v>
      </c>
      <c r="K343" s="93"/>
    </row>
    <row r="344" spans="2:11" s="38" customFormat="1" ht="93" customHeight="1" outlineLevel="1">
      <c r="B344" s="71" t="s">
        <v>456</v>
      </c>
      <c r="C344" s="132" t="s">
        <v>263</v>
      </c>
      <c r="D344" s="51" t="s">
        <v>84</v>
      </c>
      <c r="E344" s="112">
        <v>6.17</v>
      </c>
      <c r="F344" s="4"/>
      <c r="G344" s="59">
        <f t="shared" si="8"/>
        <v>0</v>
      </c>
      <c r="K344" s="93"/>
    </row>
    <row r="345" spans="2:11" s="38" customFormat="1" ht="93" customHeight="1" outlineLevel="1">
      <c r="B345" s="71" t="s">
        <v>457</v>
      </c>
      <c r="C345" s="132" t="s">
        <v>265</v>
      </c>
      <c r="D345" s="51" t="s">
        <v>84</v>
      </c>
      <c r="E345" s="112">
        <v>10.93</v>
      </c>
      <c r="F345" s="4"/>
      <c r="G345" s="59">
        <f t="shared" si="8"/>
        <v>0</v>
      </c>
      <c r="K345" s="93"/>
    </row>
    <row r="346" spans="2:11" s="38" customFormat="1">
      <c r="B346" s="71" t="s">
        <v>458</v>
      </c>
      <c r="C346" s="55" t="s">
        <v>146</v>
      </c>
      <c r="D346" s="56"/>
      <c r="E346" s="124">
        <v>0</v>
      </c>
      <c r="F346" s="4"/>
      <c r="G346" s="59">
        <f t="shared" si="8"/>
        <v>0</v>
      </c>
      <c r="K346" s="93"/>
    </row>
    <row r="347" spans="2:11" s="38" customFormat="1" ht="176.25" customHeight="1" outlineLevel="1">
      <c r="B347" s="127" t="s">
        <v>459</v>
      </c>
      <c r="C347" s="130" t="s">
        <v>2637</v>
      </c>
      <c r="D347" s="51" t="s">
        <v>140</v>
      </c>
      <c r="E347" s="112">
        <v>1</v>
      </c>
      <c r="F347" s="4"/>
      <c r="G347" s="59">
        <f t="shared" si="8"/>
        <v>0</v>
      </c>
      <c r="K347" s="93"/>
    </row>
    <row r="348" spans="2:11" s="38" customFormat="1" ht="185.25" customHeight="1" outlineLevel="1">
      <c r="B348" s="127" t="s">
        <v>460</v>
      </c>
      <c r="C348" s="130" t="s">
        <v>269</v>
      </c>
      <c r="D348" s="51" t="s">
        <v>140</v>
      </c>
      <c r="E348" s="112">
        <v>1</v>
      </c>
      <c r="F348" s="4"/>
      <c r="G348" s="59">
        <f t="shared" si="8"/>
        <v>0</v>
      </c>
      <c r="K348" s="93"/>
    </row>
    <row r="349" spans="2:11" s="38" customFormat="1">
      <c r="B349" s="71" t="s">
        <v>461</v>
      </c>
      <c r="C349" s="55" t="s">
        <v>151</v>
      </c>
      <c r="D349" s="56"/>
      <c r="E349" s="124">
        <v>0</v>
      </c>
      <c r="F349" s="4"/>
      <c r="G349" s="59">
        <f t="shared" si="8"/>
        <v>0</v>
      </c>
      <c r="K349" s="93"/>
    </row>
    <row r="350" spans="2:11" s="38" customFormat="1" ht="52.5" customHeight="1" outlineLevel="1">
      <c r="B350" s="71" t="s">
        <v>462</v>
      </c>
      <c r="C350" s="132" t="s">
        <v>153</v>
      </c>
      <c r="D350" s="51" t="s">
        <v>140</v>
      </c>
      <c r="E350" s="112">
        <v>1</v>
      </c>
      <c r="F350" s="13"/>
      <c r="G350" s="59">
        <f t="shared" si="8"/>
        <v>0</v>
      </c>
      <c r="K350" s="93"/>
    </row>
    <row r="351" spans="2:11" s="38" customFormat="1" ht="51" customHeight="1" outlineLevel="1">
      <c r="B351" s="71" t="s">
        <v>463</v>
      </c>
      <c r="C351" s="132" t="s">
        <v>155</v>
      </c>
      <c r="D351" s="51" t="s">
        <v>140</v>
      </c>
      <c r="E351" s="112">
        <v>1</v>
      </c>
      <c r="F351" s="13"/>
      <c r="G351" s="59">
        <f t="shared" si="8"/>
        <v>0</v>
      </c>
      <c r="K351" s="93"/>
    </row>
    <row r="352" spans="2:11" s="38" customFormat="1">
      <c r="B352" s="71" t="s">
        <v>464</v>
      </c>
      <c r="C352" s="55" t="s">
        <v>157</v>
      </c>
      <c r="D352" s="56"/>
      <c r="E352" s="124">
        <v>0</v>
      </c>
      <c r="F352" s="4">
        <v>0</v>
      </c>
      <c r="G352" s="59">
        <f t="shared" si="8"/>
        <v>0</v>
      </c>
      <c r="K352" s="93"/>
    </row>
    <row r="353" spans="2:11" s="38" customFormat="1" ht="56.25" customHeight="1" outlineLevel="1">
      <c r="B353" s="98"/>
      <c r="C353" s="132" t="s">
        <v>158</v>
      </c>
      <c r="D353" s="51"/>
      <c r="E353" s="112"/>
      <c r="F353" s="4"/>
      <c r="G353" s="59">
        <f t="shared" si="8"/>
        <v>0</v>
      </c>
      <c r="K353" s="93"/>
    </row>
    <row r="354" spans="2:11" s="38" customFormat="1" ht="39" customHeight="1" outlineLevel="1">
      <c r="B354" s="71" t="s">
        <v>465</v>
      </c>
      <c r="C354" s="132" t="s">
        <v>160</v>
      </c>
      <c r="D354" s="51" t="s">
        <v>140</v>
      </c>
      <c r="E354" s="112">
        <v>1</v>
      </c>
      <c r="F354" s="4"/>
      <c r="G354" s="59">
        <f t="shared" si="8"/>
        <v>0</v>
      </c>
      <c r="K354" s="100"/>
    </row>
    <row r="355" spans="2:11" s="38" customFormat="1" ht="39" customHeight="1" outlineLevel="1">
      <c r="B355" s="71" t="s">
        <v>466</v>
      </c>
      <c r="C355" s="132" t="s">
        <v>276</v>
      </c>
      <c r="D355" s="51" t="s">
        <v>140</v>
      </c>
      <c r="E355" s="112">
        <v>1</v>
      </c>
      <c r="F355" s="4"/>
      <c r="G355" s="59">
        <f t="shared" si="8"/>
        <v>0</v>
      </c>
      <c r="K355" s="100"/>
    </row>
    <row r="356" spans="2:11" s="38" customFormat="1" ht="51.75" customHeight="1" outlineLevel="1">
      <c r="B356" s="71" t="s">
        <v>467</v>
      </c>
      <c r="C356" s="132" t="s">
        <v>164</v>
      </c>
      <c r="D356" s="51" t="s">
        <v>140</v>
      </c>
      <c r="E356" s="112">
        <v>1</v>
      </c>
      <c r="F356" s="4"/>
      <c r="G356" s="59">
        <f t="shared" si="8"/>
        <v>0</v>
      </c>
      <c r="K356" s="100"/>
    </row>
    <row r="357" spans="2:11" s="38" customFormat="1" ht="146.25" customHeight="1" outlineLevel="1">
      <c r="B357" s="71" t="s">
        <v>468</v>
      </c>
      <c r="C357" s="132" t="s">
        <v>469</v>
      </c>
      <c r="D357" s="51" t="s">
        <v>140</v>
      </c>
      <c r="E357" s="112">
        <v>1</v>
      </c>
      <c r="F357" s="4"/>
      <c r="G357" s="59">
        <f t="shared" si="8"/>
        <v>0</v>
      </c>
      <c r="K357" s="100"/>
    </row>
    <row r="358" spans="2:11" s="38" customFormat="1" ht="110.25" customHeight="1" outlineLevel="1">
      <c r="B358" s="71" t="s">
        <v>470</v>
      </c>
      <c r="C358" s="132" t="s">
        <v>471</v>
      </c>
      <c r="D358" s="51" t="s">
        <v>140</v>
      </c>
      <c r="E358" s="112">
        <v>1</v>
      </c>
      <c r="F358" s="4"/>
      <c r="G358" s="59">
        <f t="shared" si="8"/>
        <v>0</v>
      </c>
      <c r="K358" s="100"/>
    </row>
    <row r="359" spans="2:11" s="38" customFormat="1" ht="63.75" customHeight="1" outlineLevel="1">
      <c r="B359" s="71" t="s">
        <v>472</v>
      </c>
      <c r="C359" s="132" t="s">
        <v>283</v>
      </c>
      <c r="D359" s="51" t="s">
        <v>140</v>
      </c>
      <c r="E359" s="112">
        <v>1</v>
      </c>
      <c r="F359" s="4"/>
      <c r="G359" s="59">
        <f t="shared" si="8"/>
        <v>0</v>
      </c>
      <c r="K359" s="100"/>
    </row>
    <row r="360" spans="2:11" s="38" customFormat="1" ht="69.75" customHeight="1" outlineLevel="1">
      <c r="B360" s="71" t="s">
        <v>473</v>
      </c>
      <c r="C360" s="132" t="s">
        <v>285</v>
      </c>
      <c r="D360" s="51" t="s">
        <v>140</v>
      </c>
      <c r="E360" s="112">
        <v>1</v>
      </c>
      <c r="F360" s="4"/>
      <c r="G360" s="59">
        <f t="shared" si="8"/>
        <v>0</v>
      </c>
      <c r="K360" s="100"/>
    </row>
    <row r="361" spans="2:11" s="38" customFormat="1" ht="52.5" customHeight="1" outlineLevel="1">
      <c r="B361" s="71" t="s">
        <v>474</v>
      </c>
      <c r="C361" s="132" t="s">
        <v>287</v>
      </c>
      <c r="D361" s="51" t="s">
        <v>140</v>
      </c>
      <c r="E361" s="112">
        <v>1</v>
      </c>
      <c r="F361" s="4"/>
      <c r="G361" s="59">
        <f t="shared" si="8"/>
        <v>0</v>
      </c>
      <c r="K361" s="100"/>
    </row>
    <row r="362" spans="2:11" s="38" customFormat="1" ht="51" customHeight="1" outlineLevel="1">
      <c r="B362" s="71" t="s">
        <v>475</v>
      </c>
      <c r="C362" s="132" t="s">
        <v>2639</v>
      </c>
      <c r="D362" s="51" t="s">
        <v>140</v>
      </c>
      <c r="E362" s="112">
        <v>1</v>
      </c>
      <c r="F362" s="4"/>
      <c r="G362" s="59">
        <f t="shared" si="8"/>
        <v>0</v>
      </c>
      <c r="K362" s="100"/>
    </row>
    <row r="363" spans="2:11" s="38" customFormat="1" ht="59.25" customHeight="1" outlineLevel="1">
      <c r="B363" s="71" t="s">
        <v>476</v>
      </c>
      <c r="C363" s="132" t="s">
        <v>290</v>
      </c>
      <c r="D363" s="51" t="s">
        <v>140</v>
      </c>
      <c r="E363" s="112">
        <v>1</v>
      </c>
      <c r="F363" s="4"/>
      <c r="G363" s="59">
        <f t="shared" si="8"/>
        <v>0</v>
      </c>
      <c r="K363" s="100"/>
    </row>
    <row r="364" spans="2:11" s="38" customFormat="1" ht="77.25" customHeight="1" outlineLevel="1">
      <c r="B364" s="71" t="s">
        <v>477</v>
      </c>
      <c r="C364" s="132" t="s">
        <v>292</v>
      </c>
      <c r="D364" s="51" t="s">
        <v>140</v>
      </c>
      <c r="E364" s="112">
        <v>1</v>
      </c>
      <c r="F364" s="4"/>
      <c r="G364" s="59">
        <f t="shared" si="8"/>
        <v>0</v>
      </c>
      <c r="K364" s="100"/>
    </row>
    <row r="365" spans="2:11" s="38" customFormat="1" ht="62.25" customHeight="1" outlineLevel="1">
      <c r="B365" s="71" t="s">
        <v>478</v>
      </c>
      <c r="C365" s="132" t="s">
        <v>294</v>
      </c>
      <c r="D365" s="51" t="s">
        <v>140</v>
      </c>
      <c r="E365" s="112">
        <v>1</v>
      </c>
      <c r="F365" s="4"/>
      <c r="G365" s="59">
        <f t="shared" si="8"/>
        <v>0</v>
      </c>
      <c r="K365" s="100"/>
    </row>
    <row r="366" spans="2:11" s="38" customFormat="1" ht="39" customHeight="1" outlineLevel="1">
      <c r="B366" s="71" t="s">
        <v>479</v>
      </c>
      <c r="C366" s="132" t="s">
        <v>183</v>
      </c>
      <c r="D366" s="51" t="s">
        <v>140</v>
      </c>
      <c r="E366" s="112">
        <v>1</v>
      </c>
      <c r="F366" s="4"/>
      <c r="G366" s="59">
        <f t="shared" ref="G366:G376" si="9">E366*F366</f>
        <v>0</v>
      </c>
      <c r="K366" s="100"/>
    </row>
    <row r="367" spans="2:11" s="38" customFormat="1" ht="54.75" customHeight="1" outlineLevel="1">
      <c r="B367" s="71" t="s">
        <v>480</v>
      </c>
      <c r="C367" s="132" t="s">
        <v>297</v>
      </c>
      <c r="D367" s="51" t="s">
        <v>140</v>
      </c>
      <c r="E367" s="112">
        <v>2</v>
      </c>
      <c r="F367" s="4">
        <v>0</v>
      </c>
      <c r="G367" s="59">
        <f t="shared" si="9"/>
        <v>0</v>
      </c>
      <c r="K367" s="100"/>
    </row>
    <row r="368" spans="2:11" s="38" customFormat="1" ht="53.25" customHeight="1" outlineLevel="1">
      <c r="B368" s="71" t="s">
        <v>481</v>
      </c>
      <c r="C368" s="132" t="s">
        <v>299</v>
      </c>
      <c r="D368" s="51" t="s">
        <v>140</v>
      </c>
      <c r="E368" s="112">
        <v>1</v>
      </c>
      <c r="F368" s="4">
        <v>0</v>
      </c>
      <c r="G368" s="59">
        <f t="shared" si="9"/>
        <v>0</v>
      </c>
      <c r="K368" s="100"/>
    </row>
    <row r="369" spans="2:11" s="38" customFormat="1" ht="54.75" customHeight="1" outlineLevel="1">
      <c r="B369" s="71" t="s">
        <v>482</v>
      </c>
      <c r="C369" s="132" t="s">
        <v>301</v>
      </c>
      <c r="D369" s="51" t="s">
        <v>140</v>
      </c>
      <c r="E369" s="112">
        <v>2</v>
      </c>
      <c r="F369" s="4">
        <v>0</v>
      </c>
      <c r="G369" s="59">
        <f t="shared" si="9"/>
        <v>0</v>
      </c>
      <c r="K369" s="100"/>
    </row>
    <row r="370" spans="2:11" s="38" customFormat="1" ht="39" customHeight="1" outlineLevel="1">
      <c r="B370" s="71" t="s">
        <v>483</v>
      </c>
      <c r="C370" s="132" t="s">
        <v>303</v>
      </c>
      <c r="D370" s="51" t="s">
        <v>140</v>
      </c>
      <c r="E370" s="112">
        <v>1</v>
      </c>
      <c r="F370" s="4">
        <v>0</v>
      </c>
      <c r="G370" s="59">
        <f t="shared" si="9"/>
        <v>0</v>
      </c>
      <c r="K370" s="100"/>
    </row>
    <row r="371" spans="2:11" s="38" customFormat="1" ht="60.75" customHeight="1" outlineLevel="1">
      <c r="B371" s="71" t="s">
        <v>484</v>
      </c>
      <c r="C371" s="132" t="s">
        <v>305</v>
      </c>
      <c r="D371" s="51" t="s">
        <v>140</v>
      </c>
      <c r="E371" s="112">
        <v>1</v>
      </c>
      <c r="F371" s="4"/>
      <c r="G371" s="59">
        <f t="shared" si="9"/>
        <v>0</v>
      </c>
      <c r="K371" s="100"/>
    </row>
    <row r="372" spans="2:11" s="38" customFormat="1" ht="157.5" customHeight="1" outlineLevel="1">
      <c r="B372" s="71" t="s">
        <v>485</v>
      </c>
      <c r="C372" s="132" t="s">
        <v>195</v>
      </c>
      <c r="D372" s="51" t="s">
        <v>140</v>
      </c>
      <c r="E372" s="112">
        <v>1</v>
      </c>
      <c r="F372" s="4">
        <v>0</v>
      </c>
      <c r="G372" s="59">
        <f t="shared" si="9"/>
        <v>0</v>
      </c>
      <c r="K372" s="100"/>
    </row>
    <row r="373" spans="2:11" s="38" customFormat="1" ht="84" customHeight="1" outlineLevel="1">
      <c r="B373" s="71" t="s">
        <v>486</v>
      </c>
      <c r="C373" s="132" t="s">
        <v>308</v>
      </c>
      <c r="D373" s="51" t="s">
        <v>140</v>
      </c>
      <c r="E373" s="112">
        <v>1</v>
      </c>
      <c r="F373" s="4"/>
      <c r="G373" s="59">
        <f t="shared" si="9"/>
        <v>0</v>
      </c>
      <c r="K373" s="100"/>
    </row>
    <row r="374" spans="2:11" s="38" customFormat="1" ht="96.75" customHeight="1" outlineLevel="1">
      <c r="B374" s="71" t="s">
        <v>487</v>
      </c>
      <c r="C374" s="132" t="s">
        <v>2627</v>
      </c>
      <c r="D374" s="51" t="s">
        <v>140</v>
      </c>
      <c r="E374" s="112">
        <v>1</v>
      </c>
      <c r="F374" s="4"/>
      <c r="G374" s="59">
        <f t="shared" si="9"/>
        <v>0</v>
      </c>
      <c r="K374" s="93"/>
    </row>
    <row r="375" spans="2:11" s="38" customFormat="1" ht="93" customHeight="1" outlineLevel="1">
      <c r="B375" s="71" t="s">
        <v>488</v>
      </c>
      <c r="C375" s="132" t="s">
        <v>489</v>
      </c>
      <c r="D375" s="51" t="s">
        <v>140</v>
      </c>
      <c r="E375" s="112">
        <v>1</v>
      </c>
      <c r="F375" s="4"/>
      <c r="G375" s="59">
        <f t="shared" si="9"/>
        <v>0</v>
      </c>
      <c r="K375" s="93"/>
    </row>
    <row r="376" spans="2:11" s="38" customFormat="1">
      <c r="B376" s="71" t="s">
        <v>490</v>
      </c>
      <c r="C376" s="55" t="s">
        <v>202</v>
      </c>
      <c r="D376" s="56"/>
      <c r="E376" s="124">
        <v>0</v>
      </c>
      <c r="F376" s="4"/>
      <c r="G376" s="59">
        <f t="shared" si="9"/>
        <v>0</v>
      </c>
      <c r="K376" s="100"/>
    </row>
    <row r="377" spans="2:11" s="38" customFormat="1" ht="63.75" outlineLevel="1">
      <c r="B377" s="71" t="s">
        <v>491</v>
      </c>
      <c r="C377" s="132" t="s">
        <v>204</v>
      </c>
      <c r="D377" s="51" t="s">
        <v>84</v>
      </c>
      <c r="E377" s="112">
        <v>2.9</v>
      </c>
      <c r="F377" s="4"/>
      <c r="G377" s="59">
        <f>E377*F377</f>
        <v>0</v>
      </c>
      <c r="K377" s="100"/>
    </row>
    <row r="378" spans="2:11" s="38" customFormat="1">
      <c r="B378" s="71"/>
      <c r="C378" s="55"/>
      <c r="D378" s="56"/>
      <c r="E378" s="124"/>
      <c r="F378" s="4"/>
      <c r="G378" s="4"/>
      <c r="K378" s="100"/>
    </row>
    <row r="379" spans="2:11" s="38" customFormat="1">
      <c r="B379" s="72" t="s">
        <v>492</v>
      </c>
      <c r="C379" s="52"/>
      <c r="D379" s="15"/>
      <c r="E379" s="122"/>
      <c r="F379" s="54"/>
      <c r="G379" s="58">
        <f>SUM(G303:G377)</f>
        <v>0</v>
      </c>
      <c r="K379" s="93"/>
    </row>
    <row r="380" spans="2:11" s="38" customFormat="1" outlineLevel="1">
      <c r="B380" s="71"/>
      <c r="C380" s="50"/>
      <c r="D380" s="51"/>
      <c r="E380" s="112"/>
      <c r="F380" s="4"/>
      <c r="G380" s="59"/>
      <c r="K380" s="100"/>
    </row>
    <row r="381" spans="2:11" s="38" customFormat="1">
      <c r="B381" s="114" t="s">
        <v>493</v>
      </c>
      <c r="C381" s="52"/>
      <c r="D381" s="15"/>
      <c r="E381" s="122"/>
      <c r="F381" s="54"/>
      <c r="G381" s="58"/>
      <c r="K381" s="93"/>
    </row>
    <row r="382" spans="2:11" s="38" customFormat="1" ht="38.25">
      <c r="B382" s="116"/>
      <c r="C382" s="55" t="s">
        <v>207</v>
      </c>
      <c r="D382" s="11" t="s">
        <v>140</v>
      </c>
      <c r="E382" s="121">
        <v>8</v>
      </c>
      <c r="F382" s="13"/>
      <c r="G382" s="113">
        <f>G379*E382</f>
        <v>0</v>
      </c>
      <c r="K382" s="93"/>
    </row>
    <row r="383" spans="2:11" s="38" customFormat="1">
      <c r="B383" s="116"/>
      <c r="C383" s="55"/>
      <c r="D383" s="11"/>
      <c r="E383" s="121"/>
      <c r="F383" s="13"/>
      <c r="G383" s="113"/>
      <c r="K383" s="93"/>
    </row>
    <row r="384" spans="2:11" s="38" customFormat="1">
      <c r="B384" s="72">
        <v>3.5</v>
      </c>
      <c r="C384" s="70" t="s">
        <v>494</v>
      </c>
      <c r="D384" s="49"/>
      <c r="E384" s="123">
        <v>0</v>
      </c>
      <c r="F384" s="54">
        <v>0</v>
      </c>
      <c r="G384" s="58"/>
      <c r="K384" s="93"/>
    </row>
    <row r="385" spans="2:11" s="38" customFormat="1">
      <c r="B385" s="116"/>
      <c r="C385" s="55"/>
      <c r="D385" s="56"/>
      <c r="E385" s="124"/>
      <c r="F385" s="13"/>
      <c r="G385" s="113"/>
      <c r="K385" s="93"/>
    </row>
    <row r="386" spans="2:11" s="38" customFormat="1" ht="45" customHeight="1">
      <c r="B386" s="116"/>
      <c r="C386" s="50" t="s">
        <v>60</v>
      </c>
      <c r="D386" s="56"/>
      <c r="E386" s="124"/>
      <c r="F386" s="13"/>
      <c r="G386" s="59">
        <f t="shared" ref="G386:G449" si="10">E386*F386</f>
        <v>0</v>
      </c>
      <c r="K386" s="93"/>
    </row>
    <row r="387" spans="2:11" s="38" customFormat="1">
      <c r="B387" s="116"/>
      <c r="C387" s="55"/>
      <c r="D387" s="56"/>
      <c r="E387" s="124"/>
      <c r="F387" s="13"/>
      <c r="G387" s="59">
        <f t="shared" si="10"/>
        <v>0</v>
      </c>
      <c r="K387" s="93"/>
    </row>
    <row r="388" spans="2:11" s="38" customFormat="1">
      <c r="B388" s="71" t="s">
        <v>495</v>
      </c>
      <c r="C388" s="55" t="s">
        <v>62</v>
      </c>
      <c r="D388" s="56"/>
      <c r="E388" s="124">
        <v>0</v>
      </c>
      <c r="F388" s="13">
        <v>0</v>
      </c>
      <c r="G388" s="59">
        <f t="shared" si="10"/>
        <v>0</v>
      </c>
      <c r="K388" s="93"/>
    </row>
    <row r="389" spans="2:11" s="38" customFormat="1" ht="198" customHeight="1" outlineLevel="1">
      <c r="B389" s="71" t="s">
        <v>496</v>
      </c>
      <c r="C389" s="132" t="s">
        <v>64</v>
      </c>
      <c r="D389" s="51" t="s">
        <v>38</v>
      </c>
      <c r="E389" s="112">
        <v>1</v>
      </c>
      <c r="F389" s="4"/>
      <c r="G389" s="59">
        <f t="shared" si="10"/>
        <v>0</v>
      </c>
      <c r="K389" s="93"/>
    </row>
    <row r="390" spans="2:11" s="38" customFormat="1">
      <c r="B390" s="71" t="s">
        <v>497</v>
      </c>
      <c r="C390" s="55" t="s">
        <v>66</v>
      </c>
      <c r="D390" s="56"/>
      <c r="E390" s="124">
        <v>0</v>
      </c>
      <c r="F390" s="13"/>
      <c r="G390" s="59">
        <f t="shared" si="10"/>
        <v>0</v>
      </c>
      <c r="K390" s="93"/>
    </row>
    <row r="391" spans="2:11" s="38" customFormat="1" ht="46.5" customHeight="1" outlineLevel="1">
      <c r="B391" s="71" t="s">
        <v>498</v>
      </c>
      <c r="C391" s="132" t="s">
        <v>68</v>
      </c>
      <c r="D391" s="51" t="s">
        <v>38</v>
      </c>
      <c r="E391" s="112">
        <v>1</v>
      </c>
      <c r="F391" s="4"/>
      <c r="G391" s="59">
        <f t="shared" si="10"/>
        <v>0</v>
      </c>
      <c r="K391" s="100"/>
    </row>
    <row r="392" spans="2:11" s="38" customFormat="1" ht="75" customHeight="1" outlineLevel="1">
      <c r="B392" s="71" t="s">
        <v>499</v>
      </c>
      <c r="C392" s="132" t="s">
        <v>70</v>
      </c>
      <c r="D392" s="51" t="s">
        <v>38</v>
      </c>
      <c r="E392" s="112">
        <v>1</v>
      </c>
      <c r="F392" s="4"/>
      <c r="G392" s="59">
        <f t="shared" si="10"/>
        <v>0</v>
      </c>
      <c r="K392" s="100"/>
    </row>
    <row r="393" spans="2:11" s="38" customFormat="1">
      <c r="B393" s="71" t="s">
        <v>500</v>
      </c>
      <c r="C393" s="55" t="s">
        <v>72</v>
      </c>
      <c r="D393" s="56"/>
      <c r="E393" s="124">
        <v>0</v>
      </c>
      <c r="F393" s="4">
        <v>0</v>
      </c>
      <c r="G393" s="59">
        <f t="shared" si="10"/>
        <v>0</v>
      </c>
      <c r="K393" s="93"/>
    </row>
    <row r="394" spans="2:11" s="38" customFormat="1" ht="117" customHeight="1" outlineLevel="1">
      <c r="B394" s="71" t="s">
        <v>501</v>
      </c>
      <c r="C394" s="132" t="s">
        <v>324</v>
      </c>
      <c r="D394" s="51" t="s">
        <v>75</v>
      </c>
      <c r="E394" s="112">
        <v>25.94</v>
      </c>
      <c r="F394" s="4"/>
      <c r="G394" s="59">
        <f t="shared" si="10"/>
        <v>0</v>
      </c>
      <c r="K394" s="93"/>
    </row>
    <row r="395" spans="2:11" s="38" customFormat="1" ht="75.75" customHeight="1" outlineLevel="1">
      <c r="B395" s="71" t="s">
        <v>502</v>
      </c>
      <c r="C395" s="132" t="s">
        <v>77</v>
      </c>
      <c r="D395" s="51" t="s">
        <v>75</v>
      </c>
      <c r="E395" s="112">
        <v>13.82</v>
      </c>
      <c r="F395" s="4"/>
      <c r="G395" s="59">
        <f t="shared" si="10"/>
        <v>0</v>
      </c>
      <c r="K395" s="93"/>
    </row>
    <row r="396" spans="2:11" s="38" customFormat="1" ht="74.25" customHeight="1" outlineLevel="1">
      <c r="B396" s="71" t="s">
        <v>503</v>
      </c>
      <c r="C396" s="132" t="s">
        <v>327</v>
      </c>
      <c r="D396" s="51" t="s">
        <v>75</v>
      </c>
      <c r="E396" s="112">
        <v>30.8</v>
      </c>
      <c r="F396" s="57"/>
      <c r="G396" s="59">
        <f t="shared" si="10"/>
        <v>0</v>
      </c>
      <c r="K396" s="93"/>
    </row>
    <row r="397" spans="2:11" s="38" customFormat="1" ht="99.75" customHeight="1" outlineLevel="1">
      <c r="B397" s="71" t="s">
        <v>504</v>
      </c>
      <c r="C397" s="132" t="s">
        <v>329</v>
      </c>
      <c r="D397" s="51" t="s">
        <v>75</v>
      </c>
      <c r="E397" s="112">
        <v>3.76</v>
      </c>
      <c r="F397" s="4"/>
      <c r="G397" s="59">
        <f t="shared" si="10"/>
        <v>0</v>
      </c>
      <c r="K397" s="93"/>
    </row>
    <row r="398" spans="2:11" s="38" customFormat="1" ht="75.75" customHeight="1" outlineLevel="1">
      <c r="B398" s="71" t="s">
        <v>505</v>
      </c>
      <c r="C398" s="132" t="s">
        <v>331</v>
      </c>
      <c r="D398" s="51" t="s">
        <v>84</v>
      </c>
      <c r="E398" s="112">
        <v>1.8</v>
      </c>
      <c r="F398" s="4"/>
      <c r="G398" s="59">
        <f t="shared" si="10"/>
        <v>0</v>
      </c>
      <c r="K398" s="93"/>
    </row>
    <row r="399" spans="2:11" s="38" customFormat="1" ht="48.75" customHeight="1" outlineLevel="1">
      <c r="B399" s="71" t="s">
        <v>506</v>
      </c>
      <c r="C399" s="132" t="s">
        <v>221</v>
      </c>
      <c r="D399" s="51" t="s">
        <v>84</v>
      </c>
      <c r="E399" s="112">
        <v>18.45</v>
      </c>
      <c r="F399" s="4"/>
      <c r="G399" s="59">
        <f t="shared" si="10"/>
        <v>0</v>
      </c>
      <c r="K399" s="93"/>
    </row>
    <row r="400" spans="2:11" s="38" customFormat="1" ht="38.25" outlineLevel="1">
      <c r="B400" s="71" t="s">
        <v>507</v>
      </c>
      <c r="C400" s="132" t="s">
        <v>223</v>
      </c>
      <c r="D400" s="51" t="s">
        <v>84</v>
      </c>
      <c r="E400" s="112">
        <v>2.57</v>
      </c>
      <c r="F400" s="4"/>
      <c r="G400" s="59">
        <f t="shared" si="10"/>
        <v>0</v>
      </c>
      <c r="K400" s="93"/>
    </row>
    <row r="401" spans="2:11" s="38" customFormat="1" ht="114.75" outlineLevel="1">
      <c r="B401" s="71" t="s">
        <v>508</v>
      </c>
      <c r="C401" s="130" t="s">
        <v>335</v>
      </c>
      <c r="D401" s="51" t="s">
        <v>91</v>
      </c>
      <c r="E401" s="112">
        <v>1</v>
      </c>
      <c r="F401" s="4"/>
      <c r="G401" s="59">
        <f t="shared" si="10"/>
        <v>0</v>
      </c>
      <c r="K401" s="93"/>
    </row>
    <row r="402" spans="2:11" s="38" customFormat="1">
      <c r="B402" s="71" t="s">
        <v>509</v>
      </c>
      <c r="C402" s="55" t="s">
        <v>93</v>
      </c>
      <c r="D402" s="56"/>
      <c r="E402" s="124">
        <v>0</v>
      </c>
      <c r="F402" s="4">
        <v>0</v>
      </c>
      <c r="G402" s="59">
        <f t="shared" si="10"/>
        <v>0</v>
      </c>
      <c r="K402" s="93"/>
    </row>
    <row r="403" spans="2:11" s="38" customFormat="1" ht="83.25" customHeight="1" outlineLevel="1">
      <c r="B403" s="71" t="s">
        <v>510</v>
      </c>
      <c r="C403" s="132" t="s">
        <v>97</v>
      </c>
      <c r="D403" s="51" t="s">
        <v>75</v>
      </c>
      <c r="E403" s="112">
        <v>35.56</v>
      </c>
      <c r="F403" s="4"/>
      <c r="G403" s="59">
        <f t="shared" si="10"/>
        <v>0</v>
      </c>
      <c r="K403" s="93"/>
    </row>
    <row r="404" spans="2:11" s="38" customFormat="1" ht="104.25" customHeight="1" outlineLevel="1">
      <c r="B404" s="71" t="s">
        <v>511</v>
      </c>
      <c r="C404" s="132" t="s">
        <v>99</v>
      </c>
      <c r="D404" s="51" t="s">
        <v>75</v>
      </c>
      <c r="E404" s="112">
        <v>58.91</v>
      </c>
      <c r="F404" s="4"/>
      <c r="G404" s="59">
        <f t="shared" si="10"/>
        <v>0</v>
      </c>
      <c r="K404" s="93"/>
    </row>
    <row r="405" spans="2:11" s="38" customFormat="1" ht="126.75" customHeight="1" outlineLevel="1">
      <c r="B405" s="71" t="s">
        <v>512</v>
      </c>
      <c r="C405" s="132" t="s">
        <v>340</v>
      </c>
      <c r="D405" s="51" t="s">
        <v>75</v>
      </c>
      <c r="E405" s="112">
        <v>0.82</v>
      </c>
      <c r="F405" s="4"/>
      <c r="G405" s="59">
        <f t="shared" si="10"/>
        <v>0</v>
      </c>
      <c r="K405" s="93"/>
    </row>
    <row r="406" spans="2:11" s="38" customFormat="1" ht="89.25" outlineLevel="1">
      <c r="B406" s="71" t="s">
        <v>513</v>
      </c>
      <c r="C406" s="132" t="s">
        <v>103</v>
      </c>
      <c r="D406" s="115"/>
      <c r="E406" s="112">
        <v>6.78</v>
      </c>
      <c r="G406" s="59">
        <f t="shared" si="10"/>
        <v>0</v>
      </c>
      <c r="K406" s="93"/>
    </row>
    <row r="407" spans="2:11" s="38" customFormat="1" ht="67.5" customHeight="1" outlineLevel="1">
      <c r="B407" s="71" t="s">
        <v>514</v>
      </c>
      <c r="C407" s="132" t="s">
        <v>95</v>
      </c>
      <c r="D407" s="51" t="s">
        <v>75</v>
      </c>
      <c r="E407" s="112">
        <v>1.4</v>
      </c>
      <c r="F407" s="4"/>
      <c r="G407" s="59">
        <f t="shared" si="10"/>
        <v>0</v>
      </c>
      <c r="K407" s="93"/>
    </row>
    <row r="408" spans="2:11" s="38" customFormat="1" ht="148.5" customHeight="1" outlineLevel="1">
      <c r="B408" s="71" t="s">
        <v>515</v>
      </c>
      <c r="C408" s="130" t="s">
        <v>343</v>
      </c>
      <c r="D408" s="51" t="s">
        <v>75</v>
      </c>
      <c r="E408" s="112">
        <v>5.84</v>
      </c>
      <c r="F408" s="4"/>
      <c r="G408" s="59">
        <f t="shared" si="10"/>
        <v>0</v>
      </c>
      <c r="K408" s="93"/>
    </row>
    <row r="409" spans="2:11" s="38" customFormat="1" ht="157.5" customHeight="1" outlineLevel="1">
      <c r="B409" s="71" t="s">
        <v>516</v>
      </c>
      <c r="C409" s="132" t="s">
        <v>234</v>
      </c>
      <c r="D409" s="51" t="s">
        <v>75</v>
      </c>
      <c r="E409" s="112">
        <v>8.83</v>
      </c>
      <c r="F409" s="4"/>
      <c r="G409" s="59">
        <f t="shared" si="10"/>
        <v>0</v>
      </c>
      <c r="K409" s="93"/>
    </row>
    <row r="410" spans="2:11" s="38" customFormat="1" ht="178.5" outlineLevel="1">
      <c r="B410" s="71" t="s">
        <v>517</v>
      </c>
      <c r="C410" s="130" t="s">
        <v>2617</v>
      </c>
      <c r="D410" s="51" t="s">
        <v>75</v>
      </c>
      <c r="E410" s="112">
        <v>2.73</v>
      </c>
      <c r="F410" s="4"/>
      <c r="G410" s="59">
        <f t="shared" si="10"/>
        <v>0</v>
      </c>
      <c r="K410" s="93"/>
    </row>
    <row r="411" spans="2:11" s="38" customFormat="1" ht="90" customHeight="1" outlineLevel="1">
      <c r="B411" s="71" t="s">
        <v>518</v>
      </c>
      <c r="C411" s="132" t="s">
        <v>435</v>
      </c>
      <c r="D411" s="51" t="s">
        <v>75</v>
      </c>
      <c r="E411" s="112">
        <v>45.64</v>
      </c>
      <c r="F411" s="4"/>
      <c r="G411" s="59">
        <f t="shared" si="10"/>
        <v>0</v>
      </c>
      <c r="K411" s="93"/>
    </row>
    <row r="412" spans="2:11" s="38" customFormat="1" ht="90.75" customHeight="1" outlineLevel="1">
      <c r="B412" s="71" t="s">
        <v>519</v>
      </c>
      <c r="C412" s="132" t="s">
        <v>437</v>
      </c>
      <c r="D412" s="51" t="s">
        <v>75</v>
      </c>
      <c r="E412" s="112">
        <v>6.41</v>
      </c>
      <c r="F412" s="4"/>
      <c r="G412" s="59">
        <f t="shared" si="10"/>
        <v>0</v>
      </c>
      <c r="K412" s="93"/>
    </row>
    <row r="413" spans="2:11" s="38" customFormat="1" ht="99" customHeight="1" outlineLevel="1">
      <c r="B413" s="71" t="s">
        <v>520</v>
      </c>
      <c r="C413" s="132" t="s">
        <v>353</v>
      </c>
      <c r="D413" s="51" t="s">
        <v>75</v>
      </c>
      <c r="E413" s="112">
        <v>8.83</v>
      </c>
      <c r="F413" s="4"/>
      <c r="G413" s="59">
        <f t="shared" si="10"/>
        <v>0</v>
      </c>
      <c r="K413" s="93"/>
    </row>
    <row r="414" spans="2:11" s="38" customFormat="1" ht="102" customHeight="1" outlineLevel="1">
      <c r="B414" s="71" t="s">
        <v>521</v>
      </c>
      <c r="C414" s="132" t="s">
        <v>440</v>
      </c>
      <c r="D414" s="51" t="s">
        <v>84</v>
      </c>
      <c r="E414" s="112">
        <v>2.38</v>
      </c>
      <c r="F414" s="4"/>
      <c r="G414" s="59">
        <f t="shared" si="10"/>
        <v>0</v>
      </c>
      <c r="K414" s="93"/>
    </row>
    <row r="415" spans="2:11" s="38" customFormat="1" ht="110.25" customHeight="1" outlineLevel="1">
      <c r="B415" s="71" t="s">
        <v>522</v>
      </c>
      <c r="C415" s="132" t="s">
        <v>442</v>
      </c>
      <c r="D415" s="51" t="s">
        <v>84</v>
      </c>
      <c r="E415" s="112">
        <v>11</v>
      </c>
      <c r="F415" s="4"/>
      <c r="G415" s="59">
        <f t="shared" si="10"/>
        <v>0</v>
      </c>
      <c r="K415" s="93"/>
    </row>
    <row r="416" spans="2:11" s="38" customFormat="1" ht="89.25" outlineLevel="1">
      <c r="B416" s="71" t="s">
        <v>523</v>
      </c>
      <c r="C416" s="132" t="s">
        <v>248</v>
      </c>
      <c r="D416" s="51" t="s">
        <v>84</v>
      </c>
      <c r="E416" s="112">
        <v>5.5</v>
      </c>
      <c r="F416" s="4"/>
      <c r="G416" s="59">
        <f t="shared" si="10"/>
        <v>0</v>
      </c>
      <c r="K416" s="93"/>
    </row>
    <row r="417" spans="2:11" s="38" customFormat="1" outlineLevel="1">
      <c r="B417" s="71"/>
      <c r="C417" s="50"/>
      <c r="D417" s="51"/>
      <c r="E417" s="112"/>
      <c r="F417" s="4"/>
      <c r="G417" s="59">
        <f t="shared" si="10"/>
        <v>0</v>
      </c>
      <c r="K417" s="93"/>
    </row>
    <row r="418" spans="2:11" s="38" customFormat="1">
      <c r="B418" s="71" t="s">
        <v>524</v>
      </c>
      <c r="C418" s="55" t="s">
        <v>123</v>
      </c>
      <c r="D418" s="56"/>
      <c r="E418" s="124">
        <v>0</v>
      </c>
      <c r="F418" s="4"/>
      <c r="G418" s="59">
        <f t="shared" si="10"/>
        <v>0</v>
      </c>
      <c r="K418" s="93"/>
    </row>
    <row r="419" spans="2:11" s="38" customFormat="1" ht="148.5" customHeight="1" outlineLevel="1">
      <c r="B419" s="71" t="s">
        <v>525</v>
      </c>
      <c r="C419" s="132" t="s">
        <v>361</v>
      </c>
      <c r="D419" s="51" t="s">
        <v>75</v>
      </c>
      <c r="E419" s="112">
        <v>5.37</v>
      </c>
      <c r="F419" s="4"/>
      <c r="G419" s="59">
        <f t="shared" si="10"/>
        <v>0</v>
      </c>
      <c r="K419" s="93"/>
    </row>
    <row r="420" spans="2:11" s="38" customFormat="1" ht="185.25" customHeight="1" outlineLevel="1">
      <c r="B420" s="71" t="s">
        <v>526</v>
      </c>
      <c r="C420" s="132" t="s">
        <v>363</v>
      </c>
      <c r="D420" s="51" t="s">
        <v>75</v>
      </c>
      <c r="E420" s="112">
        <v>4.79</v>
      </c>
      <c r="F420" s="4"/>
      <c r="G420" s="59">
        <f t="shared" si="10"/>
        <v>0</v>
      </c>
      <c r="K420" s="93"/>
    </row>
    <row r="421" spans="2:11" s="38" customFormat="1" ht="135" customHeight="1" outlineLevel="1">
      <c r="B421" s="71" t="s">
        <v>527</v>
      </c>
      <c r="C421" s="132" t="s">
        <v>365</v>
      </c>
      <c r="D421" s="51" t="s">
        <v>84</v>
      </c>
      <c r="E421" s="112">
        <v>3.21</v>
      </c>
      <c r="F421" s="4"/>
      <c r="G421" s="59">
        <f t="shared" si="10"/>
        <v>0</v>
      </c>
      <c r="K421" s="93"/>
    </row>
    <row r="422" spans="2:11" s="38" customFormat="1" ht="87" customHeight="1" outlineLevel="1">
      <c r="B422" s="71" t="s">
        <v>528</v>
      </c>
      <c r="C422" s="132" t="s">
        <v>254</v>
      </c>
      <c r="D422" s="51" t="s">
        <v>75</v>
      </c>
      <c r="E422" s="112">
        <v>10.66</v>
      </c>
      <c r="F422" s="4"/>
      <c r="G422" s="59">
        <f t="shared" si="10"/>
        <v>0</v>
      </c>
      <c r="K422" s="93"/>
    </row>
    <row r="423" spans="2:11" s="38" customFormat="1" ht="108.75" customHeight="1" outlineLevel="1">
      <c r="B423" s="71" t="s">
        <v>529</v>
      </c>
      <c r="C423" s="132" t="s">
        <v>452</v>
      </c>
      <c r="D423" s="51" t="s">
        <v>75</v>
      </c>
      <c r="E423" s="112">
        <v>5.37</v>
      </c>
      <c r="F423" s="4"/>
      <c r="G423" s="59">
        <f t="shared" si="10"/>
        <v>0</v>
      </c>
      <c r="K423" s="93"/>
    </row>
    <row r="424" spans="2:11" s="38" customFormat="1" ht="89.25" outlineLevel="1">
      <c r="B424" s="71" t="s">
        <v>530</v>
      </c>
      <c r="C424" s="132" t="s">
        <v>370</v>
      </c>
      <c r="D424" s="51" t="s">
        <v>75</v>
      </c>
      <c r="E424" s="112">
        <v>4.79</v>
      </c>
      <c r="F424" s="4"/>
      <c r="G424" s="59">
        <f t="shared" si="10"/>
        <v>0</v>
      </c>
      <c r="K424" s="93"/>
    </row>
    <row r="425" spans="2:11" s="38" customFormat="1" ht="76.5" outlineLevel="1">
      <c r="B425" s="71" t="s">
        <v>531</v>
      </c>
      <c r="C425" s="132" t="s">
        <v>260</v>
      </c>
      <c r="D425" s="51" t="s">
        <v>75</v>
      </c>
      <c r="E425" s="112">
        <v>9.92</v>
      </c>
      <c r="F425" s="4"/>
      <c r="G425" s="59">
        <f t="shared" si="10"/>
        <v>0</v>
      </c>
      <c r="K425" s="93"/>
    </row>
    <row r="426" spans="2:11" s="38" customFormat="1" ht="64.5" customHeight="1" outlineLevel="1">
      <c r="B426" s="71" t="s">
        <v>532</v>
      </c>
      <c r="C426" s="132" t="s">
        <v>139</v>
      </c>
      <c r="D426" s="51" t="s">
        <v>140</v>
      </c>
      <c r="E426" s="112">
        <v>1</v>
      </c>
      <c r="F426" s="4"/>
      <c r="G426" s="59">
        <f t="shared" si="10"/>
        <v>0</v>
      </c>
      <c r="K426" s="93"/>
    </row>
    <row r="427" spans="2:11" s="38" customFormat="1" ht="105.75" customHeight="1" outlineLevel="1">
      <c r="B427" s="71" t="s">
        <v>533</v>
      </c>
      <c r="C427" s="132" t="s">
        <v>263</v>
      </c>
      <c r="D427" s="51" t="s">
        <v>84</v>
      </c>
      <c r="E427" s="112">
        <v>5.41</v>
      </c>
      <c r="F427" s="4"/>
      <c r="G427" s="59">
        <f t="shared" si="10"/>
        <v>0</v>
      </c>
      <c r="K427" s="93"/>
    </row>
    <row r="428" spans="2:11" s="38" customFormat="1" ht="92.25" customHeight="1" outlineLevel="1">
      <c r="B428" s="71" t="s">
        <v>534</v>
      </c>
      <c r="C428" s="132" t="s">
        <v>265</v>
      </c>
      <c r="D428" s="51" t="s">
        <v>84</v>
      </c>
      <c r="E428" s="112">
        <v>13.1</v>
      </c>
      <c r="F428" s="4"/>
      <c r="G428" s="59">
        <f t="shared" si="10"/>
        <v>0</v>
      </c>
      <c r="K428" s="93"/>
    </row>
    <row r="429" spans="2:11" s="38" customFormat="1">
      <c r="B429" s="71" t="s">
        <v>535</v>
      </c>
      <c r="C429" s="55" t="s">
        <v>146</v>
      </c>
      <c r="D429" s="56"/>
      <c r="E429" s="124">
        <v>0</v>
      </c>
      <c r="F429" s="4"/>
      <c r="G429" s="59">
        <f t="shared" si="10"/>
        <v>0</v>
      </c>
      <c r="K429" s="93"/>
    </row>
    <row r="430" spans="2:11" s="38" customFormat="1" ht="204" customHeight="1" outlineLevel="1">
      <c r="B430" s="127" t="s">
        <v>267</v>
      </c>
      <c r="C430" s="130" t="s">
        <v>2637</v>
      </c>
      <c r="D430" s="51" t="s">
        <v>140</v>
      </c>
      <c r="E430" s="112">
        <v>1</v>
      </c>
      <c r="F430" s="4"/>
      <c r="G430" s="59">
        <f t="shared" si="10"/>
        <v>0</v>
      </c>
      <c r="K430" s="93"/>
    </row>
    <row r="431" spans="2:11" s="38" customFormat="1" ht="165.75" outlineLevel="1">
      <c r="B431" s="127" t="s">
        <v>268</v>
      </c>
      <c r="C431" s="130" t="s">
        <v>269</v>
      </c>
      <c r="D431" s="51" t="s">
        <v>140</v>
      </c>
      <c r="E431" s="112">
        <v>1</v>
      </c>
      <c r="F431" s="4"/>
      <c r="G431" s="59">
        <f t="shared" si="10"/>
        <v>0</v>
      </c>
      <c r="K431" s="93"/>
    </row>
    <row r="432" spans="2:11" s="38" customFormat="1">
      <c r="B432" s="71" t="s">
        <v>536</v>
      </c>
      <c r="C432" s="55" t="s">
        <v>151</v>
      </c>
      <c r="D432" s="56"/>
      <c r="E432" s="124">
        <v>0</v>
      </c>
      <c r="F432" s="4"/>
      <c r="G432" s="59">
        <f t="shared" si="10"/>
        <v>0</v>
      </c>
      <c r="K432" s="93"/>
    </row>
    <row r="433" spans="2:11" s="38" customFormat="1" ht="50.25" customHeight="1" outlineLevel="1">
      <c r="B433" s="71" t="s">
        <v>537</v>
      </c>
      <c r="C433" s="132" t="s">
        <v>153</v>
      </c>
      <c r="D433" s="51" t="s">
        <v>140</v>
      </c>
      <c r="E433" s="112">
        <v>1</v>
      </c>
      <c r="F433" s="13"/>
      <c r="G433" s="59">
        <f t="shared" si="10"/>
        <v>0</v>
      </c>
      <c r="K433" s="93"/>
    </row>
    <row r="434" spans="2:11" s="38" customFormat="1" ht="48.75" customHeight="1" outlineLevel="1">
      <c r="B434" s="71" t="s">
        <v>538</v>
      </c>
      <c r="C434" s="132" t="s">
        <v>155</v>
      </c>
      <c r="D434" s="51" t="s">
        <v>140</v>
      </c>
      <c r="E434" s="112">
        <v>1</v>
      </c>
      <c r="F434" s="13"/>
      <c r="G434" s="59">
        <f t="shared" si="10"/>
        <v>0</v>
      </c>
      <c r="K434" s="93"/>
    </row>
    <row r="435" spans="2:11" s="38" customFormat="1">
      <c r="B435" s="71" t="s">
        <v>539</v>
      </c>
      <c r="C435" s="55" t="s">
        <v>157</v>
      </c>
      <c r="D435" s="56"/>
      <c r="E435" s="124">
        <v>0</v>
      </c>
      <c r="F435" s="4">
        <v>0</v>
      </c>
      <c r="G435" s="59">
        <f t="shared" si="10"/>
        <v>0</v>
      </c>
      <c r="K435" s="93"/>
    </row>
    <row r="436" spans="2:11" s="38" customFormat="1" ht="48.75" customHeight="1" outlineLevel="1">
      <c r="B436" s="98"/>
      <c r="C436" s="50" t="s">
        <v>158</v>
      </c>
      <c r="D436" s="51"/>
      <c r="E436" s="112"/>
      <c r="F436" s="4"/>
      <c r="G436" s="59">
        <f t="shared" si="10"/>
        <v>0</v>
      </c>
      <c r="K436" s="93"/>
    </row>
    <row r="437" spans="2:11" s="38" customFormat="1" ht="51" outlineLevel="1">
      <c r="B437" s="71" t="s">
        <v>540</v>
      </c>
      <c r="C437" s="132" t="s">
        <v>160</v>
      </c>
      <c r="D437" s="51" t="s">
        <v>140</v>
      </c>
      <c r="E437" s="112">
        <v>1</v>
      </c>
      <c r="F437" s="4"/>
      <c r="G437" s="59">
        <f t="shared" si="10"/>
        <v>0</v>
      </c>
      <c r="K437" s="100"/>
    </row>
    <row r="438" spans="2:11" s="38" customFormat="1" ht="38.25" outlineLevel="1">
      <c r="B438" s="71" t="s">
        <v>541</v>
      </c>
      <c r="C438" s="132" t="s">
        <v>276</v>
      </c>
      <c r="D438" s="51" t="s">
        <v>140</v>
      </c>
      <c r="E438" s="112">
        <v>1</v>
      </c>
      <c r="F438" s="4"/>
      <c r="G438" s="59">
        <f t="shared" si="10"/>
        <v>0</v>
      </c>
      <c r="K438" s="100"/>
    </row>
    <row r="439" spans="2:11" s="38" customFormat="1" ht="51" outlineLevel="1">
      <c r="B439" s="71" t="s">
        <v>542</v>
      </c>
      <c r="C439" s="132" t="s">
        <v>164</v>
      </c>
      <c r="D439" s="51" t="s">
        <v>140</v>
      </c>
      <c r="E439" s="112">
        <v>1</v>
      </c>
      <c r="F439" s="4"/>
      <c r="G439" s="59">
        <f t="shared" si="10"/>
        <v>0</v>
      </c>
      <c r="K439" s="100"/>
    </row>
    <row r="440" spans="2:11" s="38" customFormat="1" ht="153" customHeight="1" outlineLevel="1">
      <c r="B440" s="71" t="s">
        <v>543</v>
      </c>
      <c r="C440" s="132" t="s">
        <v>544</v>
      </c>
      <c r="D440" s="51" t="s">
        <v>140</v>
      </c>
      <c r="E440" s="112">
        <v>1</v>
      </c>
      <c r="F440" s="4"/>
      <c r="G440" s="59">
        <f t="shared" si="10"/>
        <v>0</v>
      </c>
      <c r="K440" s="100"/>
    </row>
    <row r="441" spans="2:11" s="38" customFormat="1" ht="111.75" customHeight="1" outlineLevel="1">
      <c r="B441" s="71" t="s">
        <v>545</v>
      </c>
      <c r="C441" s="132" t="s">
        <v>546</v>
      </c>
      <c r="D441" s="51" t="s">
        <v>140</v>
      </c>
      <c r="E441" s="112">
        <v>1</v>
      </c>
      <c r="F441" s="4"/>
      <c r="G441" s="59">
        <f t="shared" si="10"/>
        <v>0</v>
      </c>
      <c r="K441" s="100"/>
    </row>
    <row r="442" spans="2:11" s="38" customFormat="1" ht="66" customHeight="1" outlineLevel="1">
      <c r="B442" s="71" t="s">
        <v>547</v>
      </c>
      <c r="C442" s="132" t="s">
        <v>170</v>
      </c>
      <c r="D442" s="51" t="s">
        <v>140</v>
      </c>
      <c r="E442" s="112">
        <v>1</v>
      </c>
      <c r="F442" s="4"/>
      <c r="G442" s="59">
        <f t="shared" si="10"/>
        <v>0</v>
      </c>
      <c r="K442" s="100"/>
    </row>
    <row r="443" spans="2:11" s="38" customFormat="1" ht="65.25" customHeight="1" outlineLevel="1">
      <c r="B443" s="71" t="s">
        <v>548</v>
      </c>
      <c r="C443" s="132" t="s">
        <v>172</v>
      </c>
      <c r="D443" s="51" t="s">
        <v>140</v>
      </c>
      <c r="E443" s="112">
        <v>1</v>
      </c>
      <c r="F443" s="4"/>
      <c r="G443" s="59">
        <f t="shared" si="10"/>
        <v>0</v>
      </c>
      <c r="K443" s="100"/>
    </row>
    <row r="444" spans="2:11" s="38" customFormat="1" ht="51.75" customHeight="1" outlineLevel="1">
      <c r="B444" s="71" t="s">
        <v>549</v>
      </c>
      <c r="C444" s="132" t="s">
        <v>174</v>
      </c>
      <c r="D444" s="51" t="s">
        <v>140</v>
      </c>
      <c r="E444" s="112">
        <v>1</v>
      </c>
      <c r="F444" s="4"/>
      <c r="G444" s="59">
        <f t="shared" si="10"/>
        <v>0</v>
      </c>
      <c r="K444" s="100"/>
    </row>
    <row r="445" spans="2:11" s="38" customFormat="1" ht="57.75" customHeight="1" outlineLevel="1">
      <c r="B445" s="71" t="s">
        <v>550</v>
      </c>
      <c r="C445" s="132" t="s">
        <v>2638</v>
      </c>
      <c r="D445" s="51" t="s">
        <v>140</v>
      </c>
      <c r="E445" s="112">
        <v>1</v>
      </c>
      <c r="F445" s="4"/>
      <c r="G445" s="59">
        <f t="shared" si="10"/>
        <v>0</v>
      </c>
      <c r="K445" s="100"/>
    </row>
    <row r="446" spans="2:11" s="38" customFormat="1" ht="51" customHeight="1" outlineLevel="1">
      <c r="B446" s="71" t="s">
        <v>551</v>
      </c>
      <c r="C446" s="132" t="s">
        <v>177</v>
      </c>
      <c r="D446" s="51" t="s">
        <v>140</v>
      </c>
      <c r="E446" s="112">
        <v>1</v>
      </c>
      <c r="F446" s="4"/>
      <c r="G446" s="59">
        <f t="shared" si="10"/>
        <v>0</v>
      </c>
      <c r="K446" s="100"/>
    </row>
    <row r="447" spans="2:11" s="38" customFormat="1" ht="83.25" customHeight="1" outlineLevel="1">
      <c r="B447" s="71" t="s">
        <v>552</v>
      </c>
      <c r="C447" s="132" t="s">
        <v>179</v>
      </c>
      <c r="D447" s="51" t="s">
        <v>140</v>
      </c>
      <c r="E447" s="112">
        <v>1</v>
      </c>
      <c r="F447" s="4"/>
      <c r="G447" s="59">
        <f t="shared" si="10"/>
        <v>0</v>
      </c>
      <c r="K447" s="100"/>
    </row>
    <row r="448" spans="2:11" s="38" customFormat="1" ht="57.75" customHeight="1" outlineLevel="1">
      <c r="B448" s="71" t="s">
        <v>553</v>
      </c>
      <c r="C448" s="132" t="s">
        <v>181</v>
      </c>
      <c r="D448" s="51" t="s">
        <v>140</v>
      </c>
      <c r="E448" s="112">
        <v>1</v>
      </c>
      <c r="F448" s="4"/>
      <c r="G448" s="59">
        <f t="shared" si="10"/>
        <v>0</v>
      </c>
      <c r="K448" s="100"/>
    </row>
    <row r="449" spans="2:11" s="38" customFormat="1" ht="25.5" outlineLevel="1">
      <c r="B449" s="71" t="s">
        <v>554</v>
      </c>
      <c r="C449" s="132" t="s">
        <v>183</v>
      </c>
      <c r="D449" s="51" t="s">
        <v>140</v>
      </c>
      <c r="E449" s="112">
        <v>1</v>
      </c>
      <c r="F449" s="4"/>
      <c r="G449" s="59">
        <f t="shared" si="10"/>
        <v>0</v>
      </c>
      <c r="K449" s="100"/>
    </row>
    <row r="450" spans="2:11" s="38" customFormat="1" ht="50.25" customHeight="1" outlineLevel="1">
      <c r="B450" s="71" t="s">
        <v>555</v>
      </c>
      <c r="C450" s="132" t="s">
        <v>185</v>
      </c>
      <c r="D450" s="51" t="s">
        <v>140</v>
      </c>
      <c r="E450" s="112">
        <v>1</v>
      </c>
      <c r="F450" s="4">
        <v>0</v>
      </c>
      <c r="G450" s="59">
        <f t="shared" ref="G450:G460" si="11">E450*F450</f>
        <v>0</v>
      </c>
      <c r="K450" s="100"/>
    </row>
    <row r="451" spans="2:11" s="38" customFormat="1" ht="48.75" customHeight="1" outlineLevel="1">
      <c r="B451" s="71" t="s">
        <v>556</v>
      </c>
      <c r="C451" s="132" t="s">
        <v>187</v>
      </c>
      <c r="D451" s="51" t="s">
        <v>140</v>
      </c>
      <c r="E451" s="112">
        <v>1</v>
      </c>
      <c r="F451" s="4">
        <v>0</v>
      </c>
      <c r="G451" s="59">
        <f t="shared" si="11"/>
        <v>0</v>
      </c>
      <c r="K451" s="100"/>
    </row>
    <row r="452" spans="2:11" s="38" customFormat="1" ht="44.25" customHeight="1" outlineLevel="1">
      <c r="B452" s="71" t="s">
        <v>557</v>
      </c>
      <c r="C452" s="132" t="s">
        <v>189</v>
      </c>
      <c r="D452" s="51" t="s">
        <v>140</v>
      </c>
      <c r="E452" s="112">
        <v>2</v>
      </c>
      <c r="F452" s="4">
        <v>0</v>
      </c>
      <c r="G452" s="59">
        <f t="shared" si="11"/>
        <v>0</v>
      </c>
      <c r="K452" s="100"/>
    </row>
    <row r="453" spans="2:11" s="38" customFormat="1" ht="35.25" customHeight="1" outlineLevel="1">
      <c r="B453" s="71" t="s">
        <v>558</v>
      </c>
      <c r="C453" s="132" t="s">
        <v>191</v>
      </c>
      <c r="D453" s="51" t="s">
        <v>140</v>
      </c>
      <c r="E453" s="112">
        <v>1</v>
      </c>
      <c r="F453" s="4">
        <v>0</v>
      </c>
      <c r="G453" s="59">
        <f t="shared" si="11"/>
        <v>0</v>
      </c>
      <c r="K453" s="100"/>
    </row>
    <row r="454" spans="2:11" s="38" customFormat="1" ht="50.25" customHeight="1" outlineLevel="1">
      <c r="B454" s="71" t="s">
        <v>559</v>
      </c>
      <c r="C454" s="132" t="s">
        <v>193</v>
      </c>
      <c r="D454" s="51" t="s">
        <v>140</v>
      </c>
      <c r="E454" s="112">
        <v>1</v>
      </c>
      <c r="F454" s="4"/>
      <c r="G454" s="59">
        <f t="shared" si="11"/>
        <v>0</v>
      </c>
      <c r="K454" s="100"/>
    </row>
    <row r="455" spans="2:11" s="38" customFormat="1" ht="163.5" customHeight="1" outlineLevel="1">
      <c r="B455" s="71" t="s">
        <v>560</v>
      </c>
      <c r="C455" s="132" t="s">
        <v>195</v>
      </c>
      <c r="D455" s="51" t="s">
        <v>140</v>
      </c>
      <c r="E455" s="112">
        <v>1</v>
      </c>
      <c r="F455" s="4">
        <v>0</v>
      </c>
      <c r="G455" s="59">
        <f t="shared" si="11"/>
        <v>0</v>
      </c>
      <c r="K455" s="100"/>
    </row>
    <row r="456" spans="2:11" s="38" customFormat="1" ht="86.25" customHeight="1" outlineLevel="1">
      <c r="B456" s="71" t="s">
        <v>561</v>
      </c>
      <c r="C456" s="132" t="s">
        <v>197</v>
      </c>
      <c r="D456" s="51" t="s">
        <v>140</v>
      </c>
      <c r="E456" s="112">
        <v>1</v>
      </c>
      <c r="F456" s="4"/>
      <c r="G456" s="59">
        <f t="shared" si="11"/>
        <v>0</v>
      </c>
      <c r="K456" s="100"/>
    </row>
    <row r="457" spans="2:11" s="38" customFormat="1" ht="81" customHeight="1" outlineLevel="1">
      <c r="B457" s="71" t="s">
        <v>562</v>
      </c>
      <c r="C457" s="132" t="s">
        <v>2627</v>
      </c>
      <c r="D457" s="51" t="s">
        <v>140</v>
      </c>
      <c r="E457" s="112">
        <v>1</v>
      </c>
      <c r="F457" s="4"/>
      <c r="G457" s="59">
        <f t="shared" si="11"/>
        <v>0</v>
      </c>
      <c r="K457" s="93"/>
    </row>
    <row r="458" spans="2:11" s="38" customFormat="1" ht="94.5" customHeight="1" outlineLevel="1">
      <c r="B458" s="71" t="s">
        <v>563</v>
      </c>
      <c r="C458" s="132" t="s">
        <v>311</v>
      </c>
      <c r="D458" s="51" t="s">
        <v>140</v>
      </c>
      <c r="E458" s="112">
        <v>1</v>
      </c>
      <c r="F458" s="4"/>
      <c r="G458" s="59">
        <f t="shared" si="11"/>
        <v>0</v>
      </c>
      <c r="K458" s="93"/>
    </row>
    <row r="459" spans="2:11" s="38" customFormat="1" ht="99.75" customHeight="1" outlineLevel="1">
      <c r="B459" s="71" t="s">
        <v>564</v>
      </c>
      <c r="C459" s="50" t="s">
        <v>565</v>
      </c>
      <c r="D459" s="51" t="s">
        <v>140</v>
      </c>
      <c r="E459" s="112">
        <v>1</v>
      </c>
      <c r="F459" s="4"/>
      <c r="G459" s="59">
        <f t="shared" si="11"/>
        <v>0</v>
      </c>
      <c r="K459" s="93"/>
    </row>
    <row r="460" spans="2:11" s="38" customFormat="1">
      <c r="B460" s="71" t="s">
        <v>566</v>
      </c>
      <c r="C460" s="55" t="s">
        <v>202</v>
      </c>
      <c r="D460" s="56"/>
      <c r="E460" s="124">
        <v>0</v>
      </c>
      <c r="F460" s="4"/>
      <c r="G460" s="59">
        <f t="shared" si="11"/>
        <v>0</v>
      </c>
      <c r="K460" s="100"/>
    </row>
    <row r="461" spans="2:11" s="38" customFormat="1" ht="76.5" outlineLevel="1">
      <c r="B461" s="71" t="s">
        <v>567</v>
      </c>
      <c r="C461" s="50" t="s">
        <v>568</v>
      </c>
      <c r="D461" s="51" t="s">
        <v>84</v>
      </c>
      <c r="E461" s="112">
        <v>3.2</v>
      </c>
      <c r="F461" s="4"/>
      <c r="G461" s="59">
        <f>E461*F461</f>
        <v>0</v>
      </c>
      <c r="K461" s="100"/>
    </row>
    <row r="462" spans="2:11" s="38" customFormat="1">
      <c r="B462" s="71"/>
      <c r="C462" s="55"/>
      <c r="D462" s="56"/>
      <c r="E462" s="124"/>
      <c r="F462" s="4"/>
      <c r="G462" s="4"/>
      <c r="K462" s="100"/>
    </row>
    <row r="463" spans="2:11" s="38" customFormat="1">
      <c r="B463" s="72" t="s">
        <v>569</v>
      </c>
      <c r="C463" s="52"/>
      <c r="D463" s="15"/>
      <c r="E463" s="122"/>
      <c r="F463" s="54"/>
      <c r="G463" s="58">
        <f>SUM(G386:G461)</f>
        <v>0</v>
      </c>
      <c r="K463" s="93"/>
    </row>
    <row r="464" spans="2:11" s="38" customFormat="1" outlineLevel="1">
      <c r="B464" s="71"/>
      <c r="C464" s="50"/>
      <c r="D464" s="51"/>
      <c r="E464" s="112"/>
      <c r="F464" s="4"/>
      <c r="G464" s="59"/>
      <c r="K464" s="100"/>
    </row>
    <row r="465" spans="2:11" s="38" customFormat="1">
      <c r="B465" s="114" t="s">
        <v>570</v>
      </c>
      <c r="C465" s="52"/>
      <c r="D465" s="15"/>
      <c r="E465" s="122"/>
      <c r="F465" s="54"/>
      <c r="G465" s="58"/>
      <c r="K465" s="93"/>
    </row>
    <row r="466" spans="2:11" s="38" customFormat="1" ht="38.25">
      <c r="B466" s="116"/>
      <c r="C466" s="55" t="s">
        <v>207</v>
      </c>
      <c r="D466" s="11" t="s">
        <v>140</v>
      </c>
      <c r="E466" s="121">
        <v>3</v>
      </c>
      <c r="F466" s="13"/>
      <c r="G466" s="113">
        <f>G463*E466</f>
        <v>0</v>
      </c>
      <c r="K466" s="93"/>
    </row>
    <row r="467" spans="2:11" s="38" customFormat="1">
      <c r="B467" s="116"/>
      <c r="C467" s="55"/>
      <c r="D467" s="11"/>
      <c r="E467" s="121"/>
      <c r="F467" s="13"/>
      <c r="G467" s="113"/>
      <c r="K467" s="93"/>
    </row>
    <row r="468" spans="2:11" s="38" customFormat="1">
      <c r="B468" s="72">
        <v>3.6</v>
      </c>
      <c r="C468" s="70" t="s">
        <v>571</v>
      </c>
      <c r="D468" s="49"/>
      <c r="E468" s="123">
        <v>0</v>
      </c>
      <c r="F468" s="54">
        <v>0</v>
      </c>
      <c r="G468" s="58"/>
      <c r="K468" s="93"/>
    </row>
    <row r="469" spans="2:11" s="38" customFormat="1">
      <c r="B469" s="116"/>
      <c r="C469" s="55"/>
      <c r="D469" s="56"/>
      <c r="E469" s="124"/>
      <c r="F469" s="13"/>
      <c r="G469" s="113"/>
      <c r="K469" s="93"/>
    </row>
    <row r="470" spans="2:11" s="38" customFormat="1" ht="45" customHeight="1">
      <c r="B470" s="116"/>
      <c r="C470" s="50" t="s">
        <v>60</v>
      </c>
      <c r="D470" s="56"/>
      <c r="E470" s="124"/>
      <c r="F470" s="13"/>
      <c r="G470" s="59">
        <f t="shared" ref="G470:G533" si="12">E470*F470</f>
        <v>0</v>
      </c>
      <c r="K470" s="93"/>
    </row>
    <row r="471" spans="2:11" s="38" customFormat="1">
      <c r="B471" s="116"/>
      <c r="C471" s="55"/>
      <c r="D471" s="56"/>
      <c r="E471" s="124"/>
      <c r="F471" s="13"/>
      <c r="G471" s="59">
        <f t="shared" si="12"/>
        <v>0</v>
      </c>
      <c r="K471" s="93"/>
    </row>
    <row r="472" spans="2:11" s="38" customFormat="1">
      <c r="B472" s="71" t="s">
        <v>572</v>
      </c>
      <c r="C472" s="55" t="s">
        <v>62</v>
      </c>
      <c r="D472" s="56"/>
      <c r="E472" s="124">
        <v>0</v>
      </c>
      <c r="F472" s="13">
        <v>0</v>
      </c>
      <c r="G472" s="59">
        <f t="shared" si="12"/>
        <v>0</v>
      </c>
      <c r="K472" s="93"/>
    </row>
    <row r="473" spans="2:11" s="38" customFormat="1" ht="199.5" customHeight="1" outlineLevel="1">
      <c r="B473" s="71" t="s">
        <v>573</v>
      </c>
      <c r="C473" s="138" t="s">
        <v>64</v>
      </c>
      <c r="D473" s="51" t="s">
        <v>38</v>
      </c>
      <c r="E473" s="112">
        <v>1</v>
      </c>
      <c r="F473" s="4"/>
      <c r="G473" s="59">
        <f t="shared" si="12"/>
        <v>0</v>
      </c>
      <c r="K473" s="93"/>
    </row>
    <row r="474" spans="2:11" s="38" customFormat="1">
      <c r="B474" s="71" t="s">
        <v>574</v>
      </c>
      <c r="C474" s="55" t="s">
        <v>66</v>
      </c>
      <c r="D474" s="56"/>
      <c r="E474" s="124">
        <v>0</v>
      </c>
      <c r="F474" s="13"/>
      <c r="G474" s="59">
        <f t="shared" si="12"/>
        <v>0</v>
      </c>
      <c r="K474" s="93"/>
    </row>
    <row r="475" spans="2:11" s="38" customFormat="1" ht="48" customHeight="1" outlineLevel="1">
      <c r="B475" s="71" t="s">
        <v>575</v>
      </c>
      <c r="C475" s="138" t="s">
        <v>68</v>
      </c>
      <c r="D475" s="51" t="s">
        <v>38</v>
      </c>
      <c r="E475" s="112">
        <v>1</v>
      </c>
      <c r="F475" s="4"/>
      <c r="G475" s="59">
        <f t="shared" si="12"/>
        <v>0</v>
      </c>
      <c r="K475" s="100"/>
    </row>
    <row r="476" spans="2:11" s="38" customFormat="1" ht="78.75" customHeight="1" outlineLevel="1">
      <c r="B476" s="71" t="s">
        <v>576</v>
      </c>
      <c r="C476" s="138" t="s">
        <v>70</v>
      </c>
      <c r="D476" s="51" t="s">
        <v>38</v>
      </c>
      <c r="E476" s="112">
        <v>1</v>
      </c>
      <c r="F476" s="4"/>
      <c r="G476" s="59">
        <f t="shared" si="12"/>
        <v>0</v>
      </c>
      <c r="K476" s="100"/>
    </row>
    <row r="477" spans="2:11" s="38" customFormat="1">
      <c r="B477" s="71" t="s">
        <v>577</v>
      </c>
      <c r="C477" s="55" t="s">
        <v>72</v>
      </c>
      <c r="D477" s="56"/>
      <c r="E477" s="124">
        <v>0</v>
      </c>
      <c r="F477" s="4">
        <v>0</v>
      </c>
      <c r="G477" s="59">
        <f t="shared" si="12"/>
        <v>0</v>
      </c>
      <c r="K477" s="93"/>
    </row>
    <row r="478" spans="2:11" s="38" customFormat="1" ht="114" customHeight="1" outlineLevel="1">
      <c r="B478" s="71" t="s">
        <v>578</v>
      </c>
      <c r="C478" s="138" t="s">
        <v>324</v>
      </c>
      <c r="D478" s="51" t="s">
        <v>75</v>
      </c>
      <c r="E478" s="112">
        <v>20.309999999999999</v>
      </c>
      <c r="F478" s="4"/>
      <c r="G478" s="59">
        <f t="shared" si="12"/>
        <v>0</v>
      </c>
      <c r="K478" s="93"/>
    </row>
    <row r="479" spans="2:11" s="38" customFormat="1" ht="75.75" customHeight="1" outlineLevel="1">
      <c r="B479" s="71" t="s">
        <v>579</v>
      </c>
      <c r="C479" s="138" t="s">
        <v>77</v>
      </c>
      <c r="D479" s="51" t="s">
        <v>75</v>
      </c>
      <c r="E479" s="112">
        <v>12.95</v>
      </c>
      <c r="F479" s="4"/>
      <c r="G479" s="59">
        <f t="shared" si="12"/>
        <v>0</v>
      </c>
      <c r="K479" s="93"/>
    </row>
    <row r="480" spans="2:11" s="38" customFormat="1" ht="74.25" customHeight="1" outlineLevel="1">
      <c r="B480" s="71" t="s">
        <v>580</v>
      </c>
      <c r="C480" s="138" t="s">
        <v>327</v>
      </c>
      <c r="D480" s="51" t="s">
        <v>75</v>
      </c>
      <c r="E480" s="112">
        <v>25.41</v>
      </c>
      <c r="F480" s="57"/>
      <c r="G480" s="59">
        <f t="shared" si="12"/>
        <v>0</v>
      </c>
      <c r="K480" s="93"/>
    </row>
    <row r="481" spans="2:11" s="38" customFormat="1" ht="102.75" customHeight="1" outlineLevel="1">
      <c r="B481" s="71" t="s">
        <v>581</v>
      </c>
      <c r="C481" s="138" t="s">
        <v>329</v>
      </c>
      <c r="D481" s="51" t="s">
        <v>75</v>
      </c>
      <c r="E481" s="112">
        <v>3.9</v>
      </c>
      <c r="F481" s="4"/>
      <c r="G481" s="59">
        <f t="shared" si="12"/>
        <v>0</v>
      </c>
      <c r="K481" s="93"/>
    </row>
    <row r="482" spans="2:11" s="38" customFormat="1" ht="72.75" customHeight="1" outlineLevel="1">
      <c r="B482" s="71" t="s">
        <v>582</v>
      </c>
      <c r="C482" s="138" t="s">
        <v>331</v>
      </c>
      <c r="D482" s="51" t="s">
        <v>84</v>
      </c>
      <c r="E482" s="112">
        <v>1.8</v>
      </c>
      <c r="F482" s="4"/>
      <c r="G482" s="59">
        <f t="shared" si="12"/>
        <v>0</v>
      </c>
      <c r="K482" s="93"/>
    </row>
    <row r="483" spans="2:11" s="38" customFormat="1" ht="44.25" customHeight="1" outlineLevel="1">
      <c r="B483" s="71" t="s">
        <v>583</v>
      </c>
      <c r="C483" s="138" t="s">
        <v>221</v>
      </c>
      <c r="D483" s="51" t="s">
        <v>84</v>
      </c>
      <c r="E483" s="112">
        <v>5.76</v>
      </c>
      <c r="F483" s="4"/>
      <c r="G483" s="59">
        <f t="shared" si="12"/>
        <v>0</v>
      </c>
      <c r="K483" s="93"/>
    </row>
    <row r="484" spans="2:11" s="38" customFormat="1" ht="45" customHeight="1" outlineLevel="1">
      <c r="B484" s="71" t="s">
        <v>584</v>
      </c>
      <c r="C484" s="138" t="s">
        <v>223</v>
      </c>
      <c r="D484" s="51" t="s">
        <v>84</v>
      </c>
      <c r="E484" s="112">
        <v>8.3000000000000007</v>
      </c>
      <c r="F484" s="4"/>
      <c r="G484" s="59">
        <f t="shared" si="12"/>
        <v>0</v>
      </c>
      <c r="K484" s="93"/>
    </row>
    <row r="485" spans="2:11" s="38" customFormat="1" ht="114.75" outlineLevel="1">
      <c r="B485" s="71" t="s">
        <v>585</v>
      </c>
      <c r="C485" s="139" t="s">
        <v>335</v>
      </c>
      <c r="D485" s="51" t="s">
        <v>91</v>
      </c>
      <c r="E485" s="112">
        <v>1</v>
      </c>
      <c r="F485" s="4"/>
      <c r="G485" s="59">
        <f t="shared" si="12"/>
        <v>0</v>
      </c>
      <c r="K485" s="93"/>
    </row>
    <row r="486" spans="2:11" s="38" customFormat="1">
      <c r="B486" s="71" t="s">
        <v>586</v>
      </c>
      <c r="C486" s="55" t="s">
        <v>93</v>
      </c>
      <c r="D486" s="56"/>
      <c r="E486" s="124">
        <v>0</v>
      </c>
      <c r="F486" s="4">
        <v>0</v>
      </c>
      <c r="G486" s="59">
        <f t="shared" si="12"/>
        <v>0</v>
      </c>
      <c r="K486" s="93"/>
    </row>
    <row r="487" spans="2:11" s="38" customFormat="1" ht="83.25" customHeight="1" outlineLevel="1">
      <c r="B487" s="71" t="s">
        <v>587</v>
      </c>
      <c r="C487" s="138" t="s">
        <v>97</v>
      </c>
      <c r="D487" s="51" t="s">
        <v>75</v>
      </c>
      <c r="E487" s="112">
        <v>10.73</v>
      </c>
      <c r="F487" s="4"/>
      <c r="G487" s="59">
        <f t="shared" si="12"/>
        <v>0</v>
      </c>
      <c r="K487" s="93"/>
    </row>
    <row r="488" spans="2:11" s="38" customFormat="1" ht="107.25" customHeight="1" outlineLevel="1">
      <c r="B488" s="71" t="s">
        <v>588</v>
      </c>
      <c r="C488" s="138" t="s">
        <v>99</v>
      </c>
      <c r="D488" s="51" t="s">
        <v>75</v>
      </c>
      <c r="E488" s="112">
        <v>40.28</v>
      </c>
      <c r="F488" s="4"/>
      <c r="G488" s="59">
        <f t="shared" si="12"/>
        <v>0</v>
      </c>
      <c r="K488" s="93"/>
    </row>
    <row r="489" spans="2:11" s="38" customFormat="1" ht="126.75" customHeight="1" outlineLevel="1">
      <c r="B489" s="71" t="s">
        <v>589</v>
      </c>
      <c r="C489" s="138" t="s">
        <v>340</v>
      </c>
      <c r="D489" s="51" t="s">
        <v>75</v>
      </c>
      <c r="E489" s="112">
        <v>0.59</v>
      </c>
      <c r="F489" s="4"/>
      <c r="G489" s="59">
        <f t="shared" si="12"/>
        <v>0</v>
      </c>
      <c r="K489" s="93"/>
    </row>
    <row r="490" spans="2:11" s="38" customFormat="1" ht="89.25" outlineLevel="1">
      <c r="B490" s="71" t="s">
        <v>590</v>
      </c>
      <c r="C490" s="138" t="s">
        <v>103</v>
      </c>
      <c r="D490" s="115"/>
      <c r="E490" s="112">
        <v>3.45</v>
      </c>
      <c r="G490" s="59">
        <f t="shared" si="12"/>
        <v>0</v>
      </c>
      <c r="K490" s="93"/>
    </row>
    <row r="491" spans="2:11" s="38" customFormat="1" ht="174" customHeight="1" outlineLevel="1">
      <c r="B491" s="71" t="s">
        <v>591</v>
      </c>
      <c r="C491" s="139" t="s">
        <v>343</v>
      </c>
      <c r="D491" s="51" t="s">
        <v>75</v>
      </c>
      <c r="E491" s="112">
        <v>6.05</v>
      </c>
      <c r="F491" s="4"/>
      <c r="G491" s="59">
        <f t="shared" si="12"/>
        <v>0</v>
      </c>
      <c r="K491" s="93"/>
    </row>
    <row r="492" spans="2:11" s="38" customFormat="1" ht="162" customHeight="1" outlineLevel="1">
      <c r="B492" s="71" t="s">
        <v>592</v>
      </c>
      <c r="C492" s="138" t="s">
        <v>234</v>
      </c>
      <c r="D492" s="51" t="s">
        <v>75</v>
      </c>
      <c r="E492" s="112">
        <v>8.5299999999999994</v>
      </c>
      <c r="F492" s="4"/>
      <c r="G492" s="59">
        <f t="shared" si="12"/>
        <v>0</v>
      </c>
      <c r="K492" s="93"/>
    </row>
    <row r="493" spans="2:11" s="38" customFormat="1" ht="178.5" outlineLevel="1">
      <c r="B493" s="71" t="s">
        <v>593</v>
      </c>
      <c r="C493" s="139" t="s">
        <v>2617</v>
      </c>
      <c r="D493" s="51" t="s">
        <v>75</v>
      </c>
      <c r="E493" s="112">
        <v>3.85</v>
      </c>
      <c r="F493" s="4"/>
      <c r="G493" s="59">
        <f t="shared" si="12"/>
        <v>0</v>
      </c>
      <c r="K493" s="93"/>
    </row>
    <row r="494" spans="2:11" s="38" customFormat="1" ht="89.25" customHeight="1" outlineLevel="1">
      <c r="B494" s="71" t="s">
        <v>594</v>
      </c>
      <c r="C494" s="138" t="s">
        <v>435</v>
      </c>
      <c r="D494" s="51" t="s">
        <v>75</v>
      </c>
      <c r="E494" s="112">
        <v>9.1300000000000008</v>
      </c>
      <c r="F494" s="4"/>
      <c r="G494" s="59">
        <f t="shared" si="12"/>
        <v>0</v>
      </c>
      <c r="K494" s="93"/>
    </row>
    <row r="495" spans="2:11" s="38" customFormat="1" ht="87" customHeight="1" outlineLevel="1">
      <c r="B495" s="71" t="s">
        <v>595</v>
      </c>
      <c r="C495" s="138" t="s">
        <v>437</v>
      </c>
      <c r="D495" s="51" t="s">
        <v>75</v>
      </c>
      <c r="E495" s="112">
        <v>22.07</v>
      </c>
      <c r="F495" s="4"/>
      <c r="G495" s="59">
        <f t="shared" si="12"/>
        <v>0</v>
      </c>
      <c r="K495" s="93"/>
    </row>
    <row r="496" spans="2:11" s="38" customFormat="1" ht="108.75" customHeight="1" outlineLevel="1">
      <c r="B496" s="71" t="s">
        <v>596</v>
      </c>
      <c r="C496" s="138" t="s">
        <v>353</v>
      </c>
      <c r="D496" s="51" t="s">
        <v>75</v>
      </c>
      <c r="E496" s="112">
        <v>4.78</v>
      </c>
      <c r="F496" s="4"/>
      <c r="G496" s="59">
        <f t="shared" si="12"/>
        <v>0</v>
      </c>
      <c r="K496" s="93"/>
    </row>
    <row r="497" spans="2:11" s="38" customFormat="1" ht="104.25" customHeight="1" outlineLevel="1">
      <c r="B497" s="71" t="s">
        <v>597</v>
      </c>
      <c r="C497" s="138" t="s">
        <v>440</v>
      </c>
      <c r="D497" s="51" t="s">
        <v>84</v>
      </c>
      <c r="E497" s="112">
        <v>4.76</v>
      </c>
      <c r="F497" s="4"/>
      <c r="G497" s="59">
        <f t="shared" si="12"/>
        <v>0</v>
      </c>
      <c r="K497" s="93"/>
    </row>
    <row r="498" spans="2:11" s="38" customFormat="1" ht="96.75" customHeight="1" outlineLevel="1">
      <c r="B498" s="71" t="s">
        <v>598</v>
      </c>
      <c r="C498" s="138" t="s">
        <v>248</v>
      </c>
      <c r="D498" s="51" t="s">
        <v>84</v>
      </c>
      <c r="E498" s="112">
        <v>5.5</v>
      </c>
      <c r="F498" s="4"/>
      <c r="G498" s="59">
        <f t="shared" si="12"/>
        <v>0</v>
      </c>
      <c r="K498" s="93"/>
    </row>
    <row r="499" spans="2:11" s="38" customFormat="1" outlineLevel="1">
      <c r="B499" s="71"/>
      <c r="C499" s="50"/>
      <c r="D499" s="51"/>
      <c r="E499" s="112"/>
      <c r="F499" s="4"/>
      <c r="G499" s="59">
        <f t="shared" si="12"/>
        <v>0</v>
      </c>
      <c r="K499" s="93"/>
    </row>
    <row r="500" spans="2:11" s="38" customFormat="1">
      <c r="B500" s="71" t="s">
        <v>599</v>
      </c>
      <c r="C500" s="55" t="s">
        <v>123</v>
      </c>
      <c r="D500" s="56"/>
      <c r="E500" s="124">
        <v>0</v>
      </c>
      <c r="F500" s="4"/>
      <c r="G500" s="59">
        <f t="shared" si="12"/>
        <v>0</v>
      </c>
      <c r="K500" s="93"/>
    </row>
    <row r="501" spans="2:11" s="38" customFormat="1" ht="150" customHeight="1" outlineLevel="1">
      <c r="B501" s="71" t="s">
        <v>600</v>
      </c>
      <c r="C501" s="138" t="s">
        <v>361</v>
      </c>
      <c r="D501" s="51" t="s">
        <v>75</v>
      </c>
      <c r="E501" s="112">
        <v>4.9000000000000004</v>
      </c>
      <c r="F501" s="4"/>
      <c r="G501" s="59">
        <f t="shared" si="12"/>
        <v>0</v>
      </c>
      <c r="K501" s="93"/>
    </row>
    <row r="502" spans="2:11" s="38" customFormat="1" ht="189.75" customHeight="1" outlineLevel="1">
      <c r="B502" s="71" t="s">
        <v>601</v>
      </c>
      <c r="C502" s="138" t="s">
        <v>363</v>
      </c>
      <c r="D502" s="51" t="s">
        <v>75</v>
      </c>
      <c r="E502" s="112">
        <v>4.99</v>
      </c>
      <c r="F502" s="4"/>
      <c r="G502" s="59">
        <f t="shared" si="12"/>
        <v>0</v>
      </c>
      <c r="K502" s="93"/>
    </row>
    <row r="503" spans="2:11" s="38" customFormat="1" ht="138" customHeight="1" outlineLevel="1">
      <c r="B503" s="71" t="s">
        <v>602</v>
      </c>
      <c r="C503" s="138" t="s">
        <v>365</v>
      </c>
      <c r="D503" s="51" t="s">
        <v>84</v>
      </c>
      <c r="E503" s="112">
        <v>5.5</v>
      </c>
      <c r="F503" s="4"/>
      <c r="G503" s="59">
        <f t="shared" si="12"/>
        <v>0</v>
      </c>
      <c r="K503" s="93"/>
    </row>
    <row r="504" spans="2:11" s="38" customFormat="1" ht="88.5" customHeight="1" outlineLevel="1">
      <c r="B504" s="71" t="s">
        <v>603</v>
      </c>
      <c r="C504" s="138" t="s">
        <v>254</v>
      </c>
      <c r="D504" s="51" t="s">
        <v>75</v>
      </c>
      <c r="E504" s="112">
        <v>7.42</v>
      </c>
      <c r="F504" s="4"/>
      <c r="G504" s="59">
        <f t="shared" si="12"/>
        <v>0</v>
      </c>
      <c r="K504" s="93"/>
    </row>
    <row r="505" spans="2:11" s="38" customFormat="1" ht="108" customHeight="1" outlineLevel="1">
      <c r="B505" s="71" t="s">
        <v>604</v>
      </c>
      <c r="C505" s="138" t="s">
        <v>452</v>
      </c>
      <c r="D505" s="51" t="s">
        <v>75</v>
      </c>
      <c r="E505" s="112">
        <v>4.9000000000000004</v>
      </c>
      <c r="F505" s="4"/>
      <c r="G505" s="59">
        <f t="shared" si="12"/>
        <v>0</v>
      </c>
      <c r="K505" s="93"/>
    </row>
    <row r="506" spans="2:11" s="38" customFormat="1" ht="89.25" outlineLevel="1">
      <c r="B506" s="71" t="s">
        <v>605</v>
      </c>
      <c r="C506" s="138" t="s">
        <v>370</v>
      </c>
      <c r="D506" s="51" t="s">
        <v>75</v>
      </c>
      <c r="E506" s="112">
        <v>4.99</v>
      </c>
      <c r="F506" s="4"/>
      <c r="G506" s="59">
        <f t="shared" si="12"/>
        <v>0</v>
      </c>
      <c r="K506" s="93"/>
    </row>
    <row r="507" spans="2:11" s="38" customFormat="1" ht="81" customHeight="1" outlineLevel="1">
      <c r="B507" s="71" t="s">
        <v>606</v>
      </c>
      <c r="C507" s="138" t="s">
        <v>260</v>
      </c>
      <c r="D507" s="51" t="s">
        <v>75</v>
      </c>
      <c r="E507" s="112">
        <v>7.98</v>
      </c>
      <c r="F507" s="4"/>
      <c r="G507" s="59">
        <f t="shared" si="12"/>
        <v>0</v>
      </c>
      <c r="K507" s="93"/>
    </row>
    <row r="508" spans="2:11" s="38" customFormat="1" ht="57.75" customHeight="1" outlineLevel="1">
      <c r="B508" s="71" t="s">
        <v>607</v>
      </c>
      <c r="C508" s="138" t="s">
        <v>139</v>
      </c>
      <c r="D508" s="51" t="s">
        <v>140</v>
      </c>
      <c r="E508" s="112">
        <v>1</v>
      </c>
      <c r="F508" s="4"/>
      <c r="G508" s="59">
        <f t="shared" si="12"/>
        <v>0</v>
      </c>
      <c r="K508" s="93"/>
    </row>
    <row r="509" spans="2:11" s="38" customFormat="1" ht="105.75" customHeight="1" outlineLevel="1">
      <c r="B509" s="71" t="s">
        <v>608</v>
      </c>
      <c r="C509" s="138" t="s">
        <v>263</v>
      </c>
      <c r="D509" s="51" t="s">
        <v>84</v>
      </c>
      <c r="E509" s="112">
        <v>5.44</v>
      </c>
      <c r="F509" s="4"/>
      <c r="G509" s="59">
        <f t="shared" si="12"/>
        <v>0</v>
      </c>
      <c r="K509" s="93"/>
    </row>
    <row r="510" spans="2:11" s="38" customFormat="1" ht="92.25" customHeight="1" outlineLevel="1">
      <c r="B510" s="71" t="s">
        <v>609</v>
      </c>
      <c r="C510" s="138" t="s">
        <v>265</v>
      </c>
      <c r="D510" s="51" t="s">
        <v>84</v>
      </c>
      <c r="E510" s="112">
        <v>12.1</v>
      </c>
      <c r="F510" s="4"/>
      <c r="G510" s="59">
        <f t="shared" si="12"/>
        <v>0</v>
      </c>
      <c r="K510" s="93"/>
    </row>
    <row r="511" spans="2:11" s="38" customFormat="1">
      <c r="B511" s="71" t="s">
        <v>610</v>
      </c>
      <c r="C511" s="55" t="s">
        <v>146</v>
      </c>
      <c r="D511" s="56"/>
      <c r="E511" s="124">
        <v>0</v>
      </c>
      <c r="F511" s="4"/>
      <c r="G511" s="59">
        <f t="shared" si="12"/>
        <v>0</v>
      </c>
      <c r="K511" s="93"/>
    </row>
    <row r="512" spans="2:11" s="38" customFormat="1" ht="237" customHeight="1" outlineLevel="1">
      <c r="B512" s="127" t="s">
        <v>611</v>
      </c>
      <c r="C512" s="139" t="s">
        <v>2637</v>
      </c>
      <c r="D512" s="51" t="s">
        <v>140</v>
      </c>
      <c r="E512" s="112">
        <v>1</v>
      </c>
      <c r="F512" s="4"/>
      <c r="G512" s="59">
        <f t="shared" si="12"/>
        <v>0</v>
      </c>
      <c r="K512" s="93"/>
    </row>
    <row r="513" spans="2:11" s="38" customFormat="1" ht="198.75" customHeight="1" outlineLevel="1">
      <c r="B513" s="127" t="s">
        <v>612</v>
      </c>
      <c r="C513" s="139" t="s">
        <v>269</v>
      </c>
      <c r="D513" s="51" t="s">
        <v>140</v>
      </c>
      <c r="E513" s="112">
        <v>1</v>
      </c>
      <c r="F513" s="4"/>
      <c r="G513" s="59">
        <f t="shared" si="12"/>
        <v>0</v>
      </c>
      <c r="K513" s="93"/>
    </row>
    <row r="514" spans="2:11" s="38" customFormat="1">
      <c r="B514" s="71" t="s">
        <v>613</v>
      </c>
      <c r="C514" s="55" t="s">
        <v>151</v>
      </c>
      <c r="D514" s="56"/>
      <c r="E514" s="124">
        <v>0</v>
      </c>
      <c r="F514" s="4"/>
      <c r="G514" s="59">
        <f t="shared" si="12"/>
        <v>0</v>
      </c>
      <c r="K514" s="93"/>
    </row>
    <row r="515" spans="2:11" s="38" customFormat="1" ht="59.25" customHeight="1" outlineLevel="1">
      <c r="B515" s="71" t="s">
        <v>614</v>
      </c>
      <c r="C515" s="138" t="s">
        <v>153</v>
      </c>
      <c r="D515" s="51" t="s">
        <v>140</v>
      </c>
      <c r="E515" s="112">
        <v>1</v>
      </c>
      <c r="F515" s="13"/>
      <c r="G515" s="59">
        <f t="shared" si="12"/>
        <v>0</v>
      </c>
      <c r="K515" s="93"/>
    </row>
    <row r="516" spans="2:11" s="38" customFormat="1" ht="57" customHeight="1" outlineLevel="1">
      <c r="B516" s="71" t="s">
        <v>615</v>
      </c>
      <c r="C516" s="138" t="s">
        <v>155</v>
      </c>
      <c r="D516" s="51" t="s">
        <v>140</v>
      </c>
      <c r="E516" s="112">
        <v>1</v>
      </c>
      <c r="F516" s="13"/>
      <c r="G516" s="59">
        <f t="shared" si="12"/>
        <v>0</v>
      </c>
      <c r="K516" s="93"/>
    </row>
    <row r="517" spans="2:11" s="38" customFormat="1">
      <c r="B517" s="71" t="s">
        <v>616</v>
      </c>
      <c r="C517" s="55" t="s">
        <v>157</v>
      </c>
      <c r="D517" s="56"/>
      <c r="E517" s="124">
        <v>0</v>
      </c>
      <c r="F517" s="4">
        <v>0</v>
      </c>
      <c r="G517" s="59">
        <f t="shared" si="12"/>
        <v>0</v>
      </c>
      <c r="K517" s="93"/>
    </row>
    <row r="518" spans="2:11" s="38" customFormat="1" ht="55.5" customHeight="1" outlineLevel="1">
      <c r="B518" s="98"/>
      <c r="C518" s="138" t="s">
        <v>158</v>
      </c>
      <c r="D518" s="51"/>
      <c r="E518" s="112"/>
      <c r="F518" s="4"/>
      <c r="G518" s="59">
        <f t="shared" si="12"/>
        <v>0</v>
      </c>
      <c r="K518" s="93"/>
    </row>
    <row r="519" spans="2:11" s="38" customFormat="1" ht="45" customHeight="1" outlineLevel="1">
      <c r="B519" s="71" t="s">
        <v>617</v>
      </c>
      <c r="C519" s="138" t="s">
        <v>160</v>
      </c>
      <c r="D519" s="51" t="s">
        <v>140</v>
      </c>
      <c r="E519" s="112">
        <v>1</v>
      </c>
      <c r="F519" s="4"/>
      <c r="G519" s="59">
        <f t="shared" si="12"/>
        <v>0</v>
      </c>
      <c r="K519" s="100"/>
    </row>
    <row r="520" spans="2:11" s="38" customFormat="1" ht="50.25" customHeight="1" outlineLevel="1">
      <c r="B520" s="71" t="s">
        <v>618</v>
      </c>
      <c r="C520" s="138" t="s">
        <v>162</v>
      </c>
      <c r="D520" s="51" t="s">
        <v>140</v>
      </c>
      <c r="E520" s="112">
        <v>1</v>
      </c>
      <c r="F520" s="4"/>
      <c r="G520" s="59">
        <f t="shared" si="12"/>
        <v>0</v>
      </c>
      <c r="K520" s="100"/>
    </row>
    <row r="521" spans="2:11" s="38" customFormat="1" ht="51" outlineLevel="1">
      <c r="B521" s="71" t="s">
        <v>619</v>
      </c>
      <c r="C521" s="138" t="s">
        <v>164</v>
      </c>
      <c r="D521" s="51" t="s">
        <v>140</v>
      </c>
      <c r="E521" s="112">
        <v>1</v>
      </c>
      <c r="F521" s="4"/>
      <c r="G521" s="59">
        <f t="shared" si="12"/>
        <v>0</v>
      </c>
      <c r="K521" s="100"/>
    </row>
    <row r="522" spans="2:11" s="38" customFormat="1" ht="153" customHeight="1" outlineLevel="1">
      <c r="B522" s="71" t="s">
        <v>620</v>
      </c>
      <c r="C522" s="138" t="s">
        <v>621</v>
      </c>
      <c r="D522" s="51" t="s">
        <v>140</v>
      </c>
      <c r="E522" s="112">
        <v>1</v>
      </c>
      <c r="F522" s="4"/>
      <c r="G522" s="59">
        <f t="shared" si="12"/>
        <v>0</v>
      </c>
      <c r="K522" s="100"/>
    </row>
    <row r="523" spans="2:11" s="38" customFormat="1" ht="106.5" customHeight="1" outlineLevel="1">
      <c r="B523" s="71" t="s">
        <v>622</v>
      </c>
      <c r="C523" s="138" t="s">
        <v>623</v>
      </c>
      <c r="D523" s="51" t="s">
        <v>140</v>
      </c>
      <c r="E523" s="112">
        <v>1</v>
      </c>
      <c r="F523" s="4"/>
      <c r="G523" s="59">
        <f t="shared" si="12"/>
        <v>0</v>
      </c>
      <c r="K523" s="100"/>
    </row>
    <row r="524" spans="2:11" s="38" customFormat="1" ht="61.5" customHeight="1" outlineLevel="1">
      <c r="B524" s="71" t="s">
        <v>624</v>
      </c>
      <c r="C524" s="138" t="s">
        <v>170</v>
      </c>
      <c r="D524" s="51" t="s">
        <v>140</v>
      </c>
      <c r="E524" s="112">
        <v>1</v>
      </c>
      <c r="F524" s="4"/>
      <c r="G524" s="59">
        <f t="shared" si="12"/>
        <v>0</v>
      </c>
      <c r="K524" s="100"/>
    </row>
    <row r="525" spans="2:11" s="38" customFormat="1" ht="38.25" outlineLevel="1">
      <c r="B525" s="71" t="s">
        <v>625</v>
      </c>
      <c r="C525" s="138" t="s">
        <v>172</v>
      </c>
      <c r="D525" s="51" t="s">
        <v>140</v>
      </c>
      <c r="E525" s="112">
        <v>1</v>
      </c>
      <c r="F525" s="4"/>
      <c r="G525" s="59">
        <f t="shared" si="12"/>
        <v>0</v>
      </c>
      <c r="K525" s="100"/>
    </row>
    <row r="526" spans="2:11" s="38" customFormat="1" ht="51" outlineLevel="1">
      <c r="B526" s="71" t="s">
        <v>626</v>
      </c>
      <c r="C526" s="138" t="s">
        <v>174</v>
      </c>
      <c r="D526" s="51" t="s">
        <v>140</v>
      </c>
      <c r="E526" s="112">
        <v>1</v>
      </c>
      <c r="F526" s="4"/>
      <c r="G526" s="59">
        <f t="shared" si="12"/>
        <v>0</v>
      </c>
      <c r="K526" s="100"/>
    </row>
    <row r="527" spans="2:11" s="38" customFormat="1" ht="51" outlineLevel="1">
      <c r="B527" s="71" t="s">
        <v>627</v>
      </c>
      <c r="C527" s="138" t="s">
        <v>2638</v>
      </c>
      <c r="D527" s="51" t="s">
        <v>140</v>
      </c>
      <c r="E527" s="112">
        <v>1</v>
      </c>
      <c r="F527" s="4"/>
      <c r="G527" s="59">
        <f t="shared" si="12"/>
        <v>0</v>
      </c>
      <c r="K527" s="100"/>
    </row>
    <row r="528" spans="2:11" s="38" customFormat="1" ht="51" outlineLevel="1">
      <c r="B528" s="71" t="s">
        <v>628</v>
      </c>
      <c r="C528" s="138" t="s">
        <v>177</v>
      </c>
      <c r="D528" s="51" t="s">
        <v>140</v>
      </c>
      <c r="E528" s="112">
        <v>1</v>
      </c>
      <c r="F528" s="4"/>
      <c r="G528" s="59">
        <f t="shared" si="12"/>
        <v>0</v>
      </c>
      <c r="K528" s="100"/>
    </row>
    <row r="529" spans="2:11" s="38" customFormat="1" ht="84.75" customHeight="1" outlineLevel="1">
      <c r="B529" s="71" t="s">
        <v>629</v>
      </c>
      <c r="C529" s="138" t="s">
        <v>179</v>
      </c>
      <c r="D529" s="51" t="s">
        <v>140</v>
      </c>
      <c r="E529" s="112">
        <v>1</v>
      </c>
      <c r="F529" s="4"/>
      <c r="G529" s="59">
        <f t="shared" si="12"/>
        <v>0</v>
      </c>
      <c r="K529" s="100"/>
    </row>
    <row r="530" spans="2:11" s="38" customFormat="1" ht="66.75" customHeight="1" outlineLevel="1">
      <c r="B530" s="71" t="s">
        <v>630</v>
      </c>
      <c r="C530" s="138" t="s">
        <v>181</v>
      </c>
      <c r="D530" s="51" t="s">
        <v>140</v>
      </c>
      <c r="E530" s="112">
        <v>1</v>
      </c>
      <c r="F530" s="4"/>
      <c r="G530" s="59">
        <f t="shared" si="12"/>
        <v>0</v>
      </c>
      <c r="K530" s="100"/>
    </row>
    <row r="531" spans="2:11" s="38" customFormat="1" ht="41.25" customHeight="1" outlineLevel="1">
      <c r="B531" s="71" t="s">
        <v>631</v>
      </c>
      <c r="C531" s="138" t="s">
        <v>183</v>
      </c>
      <c r="D531" s="51" t="s">
        <v>140</v>
      </c>
      <c r="E531" s="112">
        <v>1</v>
      </c>
      <c r="F531" s="4"/>
      <c r="G531" s="59">
        <f t="shared" si="12"/>
        <v>0</v>
      </c>
      <c r="K531" s="100"/>
    </row>
    <row r="532" spans="2:11" s="38" customFormat="1" ht="55.5" customHeight="1" outlineLevel="1">
      <c r="B532" s="71" t="s">
        <v>632</v>
      </c>
      <c r="C532" s="138" t="s">
        <v>185</v>
      </c>
      <c r="D532" s="51" t="s">
        <v>140</v>
      </c>
      <c r="E532" s="112">
        <v>2</v>
      </c>
      <c r="F532" s="4">
        <v>0</v>
      </c>
      <c r="G532" s="59">
        <f t="shared" si="12"/>
        <v>0</v>
      </c>
      <c r="K532" s="100"/>
    </row>
    <row r="533" spans="2:11" s="38" customFormat="1" ht="38.25" outlineLevel="1">
      <c r="B533" s="71" t="s">
        <v>633</v>
      </c>
      <c r="C533" s="138" t="s">
        <v>187</v>
      </c>
      <c r="D533" s="51" t="s">
        <v>140</v>
      </c>
      <c r="E533" s="112">
        <v>1</v>
      </c>
      <c r="F533" s="4">
        <v>0</v>
      </c>
      <c r="G533" s="59">
        <f t="shared" si="12"/>
        <v>0</v>
      </c>
      <c r="K533" s="100"/>
    </row>
    <row r="534" spans="2:11" s="38" customFormat="1" ht="38.25" outlineLevel="1">
      <c r="B534" s="71" t="s">
        <v>634</v>
      </c>
      <c r="C534" s="138" t="s">
        <v>189</v>
      </c>
      <c r="D534" s="51" t="s">
        <v>140</v>
      </c>
      <c r="E534" s="112">
        <v>2</v>
      </c>
      <c r="F534" s="4">
        <v>0</v>
      </c>
      <c r="G534" s="59">
        <f t="shared" ref="G534:G541" si="13">E534*F534</f>
        <v>0</v>
      </c>
      <c r="K534" s="100"/>
    </row>
    <row r="535" spans="2:11" s="38" customFormat="1" ht="25.5" outlineLevel="1">
      <c r="B535" s="71" t="s">
        <v>635</v>
      </c>
      <c r="C535" s="138" t="s">
        <v>191</v>
      </c>
      <c r="D535" s="51" t="s">
        <v>140</v>
      </c>
      <c r="E535" s="112">
        <v>1</v>
      </c>
      <c r="F535" s="4">
        <v>0</v>
      </c>
      <c r="G535" s="59">
        <f t="shared" si="13"/>
        <v>0</v>
      </c>
      <c r="K535" s="100"/>
    </row>
    <row r="536" spans="2:11" s="38" customFormat="1" ht="51" outlineLevel="1">
      <c r="B536" s="71" t="s">
        <v>636</v>
      </c>
      <c r="C536" s="138" t="s">
        <v>193</v>
      </c>
      <c r="D536" s="51" t="s">
        <v>140</v>
      </c>
      <c r="E536" s="112">
        <v>1</v>
      </c>
      <c r="F536" s="4"/>
      <c r="G536" s="59">
        <f t="shared" si="13"/>
        <v>0</v>
      </c>
      <c r="K536" s="100"/>
    </row>
    <row r="537" spans="2:11" s="38" customFormat="1" ht="211.5" customHeight="1" outlineLevel="1">
      <c r="B537" s="71" t="s">
        <v>637</v>
      </c>
      <c r="C537" s="138" t="s">
        <v>195</v>
      </c>
      <c r="D537" s="51" t="s">
        <v>140</v>
      </c>
      <c r="E537" s="112">
        <v>1</v>
      </c>
      <c r="F537" s="4">
        <v>0</v>
      </c>
      <c r="G537" s="59">
        <f t="shared" si="13"/>
        <v>0</v>
      </c>
      <c r="K537" s="100"/>
    </row>
    <row r="538" spans="2:11" s="38" customFormat="1" ht="81.75" customHeight="1" outlineLevel="1">
      <c r="B538" s="71" t="s">
        <v>638</v>
      </c>
      <c r="C538" s="138" t="s">
        <v>197</v>
      </c>
      <c r="D538" s="51" t="s">
        <v>140</v>
      </c>
      <c r="E538" s="112">
        <v>1</v>
      </c>
      <c r="F538" s="4"/>
      <c r="G538" s="59">
        <f t="shared" si="13"/>
        <v>0</v>
      </c>
      <c r="K538" s="100"/>
    </row>
    <row r="539" spans="2:11" s="38" customFormat="1" ht="102" customHeight="1" outlineLevel="1">
      <c r="B539" s="71" t="s">
        <v>639</v>
      </c>
      <c r="C539" s="132" t="s">
        <v>2627</v>
      </c>
      <c r="D539" s="51" t="s">
        <v>140</v>
      </c>
      <c r="E539" s="112">
        <v>1</v>
      </c>
      <c r="F539" s="4"/>
      <c r="G539" s="59">
        <f t="shared" si="13"/>
        <v>0</v>
      </c>
      <c r="K539" s="93"/>
    </row>
    <row r="540" spans="2:11" s="38" customFormat="1" ht="106.5" customHeight="1" outlineLevel="1">
      <c r="B540" s="71" t="s">
        <v>640</v>
      </c>
      <c r="C540" s="138" t="s">
        <v>641</v>
      </c>
      <c r="D540" s="51" t="s">
        <v>140</v>
      </c>
      <c r="E540" s="112">
        <v>1</v>
      </c>
      <c r="F540" s="4"/>
      <c r="G540" s="59">
        <f t="shared" si="13"/>
        <v>0</v>
      </c>
      <c r="K540" s="93"/>
    </row>
    <row r="541" spans="2:11" s="38" customFormat="1">
      <c r="B541" s="71" t="s">
        <v>642</v>
      </c>
      <c r="C541" s="55" t="s">
        <v>202</v>
      </c>
      <c r="D541" s="56"/>
      <c r="E541" s="124">
        <v>0</v>
      </c>
      <c r="F541" s="4"/>
      <c r="G541" s="59">
        <f t="shared" si="13"/>
        <v>0</v>
      </c>
      <c r="K541" s="100"/>
    </row>
    <row r="542" spans="2:11" s="38" customFormat="1" ht="63.75" outlineLevel="1">
      <c r="B542" s="71" t="s">
        <v>643</v>
      </c>
      <c r="C542" s="138" t="s">
        <v>314</v>
      </c>
      <c r="D542" s="51" t="s">
        <v>84</v>
      </c>
      <c r="E542" s="112">
        <v>4</v>
      </c>
      <c r="F542" s="4"/>
      <c r="G542" s="59">
        <f>E542*F542</f>
        <v>0</v>
      </c>
      <c r="K542" s="100"/>
    </row>
    <row r="543" spans="2:11" s="38" customFormat="1">
      <c r="B543" s="71"/>
      <c r="C543" s="55"/>
      <c r="D543" s="56"/>
      <c r="E543" s="124"/>
      <c r="F543" s="4"/>
      <c r="G543" s="4"/>
      <c r="K543" s="100"/>
    </row>
    <row r="544" spans="2:11" s="38" customFormat="1">
      <c r="B544" s="72" t="s">
        <v>644</v>
      </c>
      <c r="C544" s="52"/>
      <c r="D544" s="15"/>
      <c r="E544" s="122"/>
      <c r="F544" s="54"/>
      <c r="G544" s="58">
        <f>SUM(G470:G542)</f>
        <v>0</v>
      </c>
      <c r="K544" s="93"/>
    </row>
    <row r="545" spans="2:11" s="38" customFormat="1" outlineLevel="1">
      <c r="B545" s="71"/>
      <c r="C545" s="50"/>
      <c r="D545" s="51"/>
      <c r="E545" s="112"/>
      <c r="F545" s="4"/>
      <c r="G545" s="59"/>
      <c r="K545" s="100"/>
    </row>
    <row r="546" spans="2:11" s="38" customFormat="1">
      <c r="B546" s="114" t="s">
        <v>645</v>
      </c>
      <c r="C546" s="52"/>
      <c r="D546" s="15"/>
      <c r="E546" s="122"/>
      <c r="F546" s="54"/>
      <c r="G546" s="58"/>
      <c r="K546" s="93"/>
    </row>
    <row r="547" spans="2:11" s="38" customFormat="1" ht="38.25">
      <c r="B547" s="116"/>
      <c r="C547" s="55" t="s">
        <v>207</v>
      </c>
      <c r="D547" s="11" t="s">
        <v>140</v>
      </c>
      <c r="E547" s="121">
        <v>5</v>
      </c>
      <c r="F547" s="13"/>
      <c r="G547" s="113">
        <f>G544*E547</f>
        <v>0</v>
      </c>
      <c r="K547" s="93"/>
    </row>
    <row r="548" spans="2:11" s="38" customFormat="1">
      <c r="B548" s="116"/>
      <c r="C548" s="55"/>
      <c r="D548" s="11"/>
      <c r="E548" s="121"/>
      <c r="F548" s="13"/>
      <c r="G548" s="113"/>
      <c r="K548" s="93"/>
    </row>
    <row r="549" spans="2:11" s="38" customFormat="1">
      <c r="B549" s="72">
        <v>3.7</v>
      </c>
      <c r="C549" s="70" t="s">
        <v>646</v>
      </c>
      <c r="D549" s="49"/>
      <c r="E549" s="123">
        <v>0</v>
      </c>
      <c r="F549" s="54">
        <v>0</v>
      </c>
      <c r="G549" s="58"/>
      <c r="K549" s="93"/>
    </row>
    <row r="550" spans="2:11" s="38" customFormat="1">
      <c r="B550" s="116"/>
      <c r="C550" s="116"/>
      <c r="D550" s="56"/>
      <c r="E550" s="124"/>
      <c r="F550" s="13"/>
      <c r="G550" s="113"/>
      <c r="K550" s="93"/>
    </row>
    <row r="551" spans="2:11" s="38" customFormat="1" ht="48.75" customHeight="1">
      <c r="B551" s="116"/>
      <c r="C551" s="50" t="s">
        <v>60</v>
      </c>
      <c r="D551" s="56"/>
      <c r="E551" s="124"/>
      <c r="F551" s="13"/>
      <c r="G551" s="59">
        <f t="shared" ref="G551:G614" si="14">E551*F551</f>
        <v>0</v>
      </c>
      <c r="K551" s="93"/>
    </row>
    <row r="552" spans="2:11" s="38" customFormat="1">
      <c r="B552" s="116"/>
      <c r="C552" s="116"/>
      <c r="D552" s="56"/>
      <c r="E552" s="124"/>
      <c r="F552" s="13"/>
      <c r="G552" s="59">
        <f t="shared" si="14"/>
        <v>0</v>
      </c>
      <c r="K552" s="93"/>
    </row>
    <row r="553" spans="2:11" s="38" customFormat="1">
      <c r="B553" s="71" t="s">
        <v>647</v>
      </c>
      <c r="C553" s="55" t="s">
        <v>62</v>
      </c>
      <c r="D553" s="56"/>
      <c r="E553" s="124">
        <v>0</v>
      </c>
      <c r="F553" s="13">
        <v>0</v>
      </c>
      <c r="G553" s="59">
        <f t="shared" si="14"/>
        <v>0</v>
      </c>
      <c r="K553" s="93"/>
    </row>
    <row r="554" spans="2:11" s="38" customFormat="1" ht="204.75" customHeight="1" outlineLevel="1">
      <c r="B554" s="71" t="s">
        <v>648</v>
      </c>
      <c r="C554" s="132" t="s">
        <v>64</v>
      </c>
      <c r="D554" s="51" t="s">
        <v>38</v>
      </c>
      <c r="E554" s="112">
        <v>1</v>
      </c>
      <c r="F554" s="4"/>
      <c r="G554" s="59">
        <f t="shared" si="14"/>
        <v>0</v>
      </c>
      <c r="K554" s="93"/>
    </row>
    <row r="555" spans="2:11" s="38" customFormat="1" outlineLevel="1">
      <c r="B555" s="71"/>
      <c r="C555" s="50"/>
      <c r="D555" s="51"/>
      <c r="E555" s="112"/>
      <c r="F555" s="4"/>
      <c r="G555" s="59">
        <f t="shared" si="14"/>
        <v>0</v>
      </c>
      <c r="K555" s="93"/>
    </row>
    <row r="556" spans="2:11" s="38" customFormat="1">
      <c r="B556" s="71" t="s">
        <v>649</v>
      </c>
      <c r="C556" s="55" t="s">
        <v>66</v>
      </c>
      <c r="D556" s="56"/>
      <c r="E556" s="124">
        <v>0</v>
      </c>
      <c r="F556" s="13"/>
      <c r="G556" s="59">
        <f t="shared" si="14"/>
        <v>0</v>
      </c>
      <c r="K556" s="93"/>
    </row>
    <row r="557" spans="2:11" s="38" customFormat="1" ht="54.75" customHeight="1" outlineLevel="1">
      <c r="B557" s="71" t="s">
        <v>650</v>
      </c>
      <c r="C557" s="132" t="s">
        <v>68</v>
      </c>
      <c r="D557" s="51" t="s">
        <v>38</v>
      </c>
      <c r="E557" s="112">
        <v>1</v>
      </c>
      <c r="F557" s="4"/>
      <c r="G557" s="59">
        <f t="shared" si="14"/>
        <v>0</v>
      </c>
      <c r="K557" s="100"/>
    </row>
    <row r="558" spans="2:11" s="38" customFormat="1" ht="74.25" customHeight="1" outlineLevel="1">
      <c r="B558" s="71" t="s">
        <v>651</v>
      </c>
      <c r="C558" s="132" t="s">
        <v>70</v>
      </c>
      <c r="D558" s="51" t="s">
        <v>38</v>
      </c>
      <c r="E558" s="112">
        <v>1</v>
      </c>
      <c r="F558" s="4"/>
      <c r="G558" s="59">
        <f t="shared" si="14"/>
        <v>0</v>
      </c>
      <c r="K558" s="100"/>
    </row>
    <row r="559" spans="2:11" s="38" customFormat="1">
      <c r="B559" s="71" t="s">
        <v>652</v>
      </c>
      <c r="C559" s="55" t="s">
        <v>72</v>
      </c>
      <c r="D559" s="56"/>
      <c r="E559" s="124">
        <v>0</v>
      </c>
      <c r="F559" s="4">
        <v>0</v>
      </c>
      <c r="G559" s="59">
        <f t="shared" si="14"/>
        <v>0</v>
      </c>
      <c r="K559" s="93"/>
    </row>
    <row r="560" spans="2:11" s="38" customFormat="1" ht="122.25" customHeight="1" outlineLevel="1">
      <c r="B560" s="71" t="s">
        <v>653</v>
      </c>
      <c r="C560" s="132" t="s">
        <v>324</v>
      </c>
      <c r="D560" s="51" t="s">
        <v>75</v>
      </c>
      <c r="E560" s="112">
        <v>30.26</v>
      </c>
      <c r="F560" s="4"/>
      <c r="G560" s="59">
        <f t="shared" si="14"/>
        <v>0</v>
      </c>
      <c r="K560" s="93"/>
    </row>
    <row r="561" spans="2:11" s="38" customFormat="1" ht="81.75" customHeight="1" outlineLevel="1">
      <c r="B561" s="71" t="s">
        <v>654</v>
      </c>
      <c r="C561" s="132" t="s">
        <v>77</v>
      </c>
      <c r="D561" s="51" t="s">
        <v>75</v>
      </c>
      <c r="E561" s="112">
        <v>21.59</v>
      </c>
      <c r="F561" s="4"/>
      <c r="G561" s="59">
        <f t="shared" si="14"/>
        <v>0</v>
      </c>
      <c r="K561" s="93"/>
    </row>
    <row r="562" spans="2:11" s="38" customFormat="1" ht="76.5" customHeight="1" outlineLevel="1">
      <c r="B562" s="71" t="s">
        <v>655</v>
      </c>
      <c r="C562" s="132" t="s">
        <v>327</v>
      </c>
      <c r="D562" s="51" t="s">
        <v>75</v>
      </c>
      <c r="E562" s="112">
        <v>37.869999999999997</v>
      </c>
      <c r="F562" s="57"/>
      <c r="G562" s="59">
        <f t="shared" si="14"/>
        <v>0</v>
      </c>
      <c r="K562" s="93"/>
    </row>
    <row r="563" spans="2:11" s="38" customFormat="1" ht="108.75" customHeight="1" outlineLevel="1">
      <c r="B563" s="71" t="s">
        <v>656</v>
      </c>
      <c r="C563" s="132" t="s">
        <v>329</v>
      </c>
      <c r="D563" s="51" t="s">
        <v>75</v>
      </c>
      <c r="E563" s="112">
        <v>3.99</v>
      </c>
      <c r="F563" s="4"/>
      <c r="G563" s="59">
        <f t="shared" si="14"/>
        <v>0</v>
      </c>
      <c r="K563" s="93"/>
    </row>
    <row r="564" spans="2:11" s="38" customFormat="1" ht="83.25" customHeight="1" outlineLevel="1">
      <c r="B564" s="71" t="s">
        <v>657</v>
      </c>
      <c r="C564" s="132" t="s">
        <v>331</v>
      </c>
      <c r="D564" s="51" t="s">
        <v>84</v>
      </c>
      <c r="E564" s="112">
        <v>1.8</v>
      </c>
      <c r="F564" s="4"/>
      <c r="G564" s="59">
        <f t="shared" si="14"/>
        <v>0</v>
      </c>
      <c r="K564" s="93"/>
    </row>
    <row r="565" spans="2:11" s="38" customFormat="1" ht="46.5" customHeight="1" outlineLevel="1">
      <c r="B565" s="71" t="s">
        <v>658</v>
      </c>
      <c r="C565" s="132" t="s">
        <v>86</v>
      </c>
      <c r="D565" s="51" t="s">
        <v>84</v>
      </c>
      <c r="E565" s="112">
        <v>14.6</v>
      </c>
      <c r="F565" s="4"/>
      <c r="G565" s="59">
        <f t="shared" si="14"/>
        <v>0</v>
      </c>
      <c r="K565" s="93"/>
    </row>
    <row r="566" spans="2:11" s="38" customFormat="1" ht="38.25" outlineLevel="1">
      <c r="B566" s="71" t="s">
        <v>659</v>
      </c>
      <c r="C566" s="132" t="s">
        <v>88</v>
      </c>
      <c r="D566" s="51" t="s">
        <v>84</v>
      </c>
      <c r="E566" s="112">
        <v>10</v>
      </c>
      <c r="F566" s="4"/>
      <c r="G566" s="59">
        <f t="shared" si="14"/>
        <v>0</v>
      </c>
      <c r="K566" s="93"/>
    </row>
    <row r="567" spans="2:11" s="38" customFormat="1" ht="114.75" outlineLevel="1">
      <c r="B567" s="71" t="s">
        <v>660</v>
      </c>
      <c r="C567" s="130" t="s">
        <v>335</v>
      </c>
      <c r="D567" s="51" t="s">
        <v>91</v>
      </c>
      <c r="E567" s="112">
        <v>1</v>
      </c>
      <c r="F567" s="4"/>
      <c r="G567" s="59">
        <f t="shared" si="14"/>
        <v>0</v>
      </c>
      <c r="K567" s="93"/>
    </row>
    <row r="568" spans="2:11" s="38" customFormat="1" outlineLevel="1">
      <c r="B568" s="71"/>
      <c r="C568" s="50"/>
      <c r="D568" s="51"/>
      <c r="E568" s="112"/>
      <c r="F568" s="4"/>
      <c r="G568" s="59">
        <f t="shared" si="14"/>
        <v>0</v>
      </c>
      <c r="K568" s="93"/>
    </row>
    <row r="569" spans="2:11" s="38" customFormat="1">
      <c r="B569" s="71" t="s">
        <v>661</v>
      </c>
      <c r="C569" s="55" t="s">
        <v>93</v>
      </c>
      <c r="D569" s="56"/>
      <c r="E569" s="124">
        <v>0</v>
      </c>
      <c r="F569" s="4">
        <v>0</v>
      </c>
      <c r="G569" s="59">
        <f t="shared" si="14"/>
        <v>0</v>
      </c>
      <c r="K569" s="93"/>
    </row>
    <row r="570" spans="2:11" s="38" customFormat="1" ht="72" customHeight="1" outlineLevel="1">
      <c r="B570" s="71" t="s">
        <v>662</v>
      </c>
      <c r="C570" s="132" t="s">
        <v>97</v>
      </c>
      <c r="D570" s="51" t="s">
        <v>75</v>
      </c>
      <c r="E570" s="112">
        <v>22.52</v>
      </c>
      <c r="F570" s="4"/>
      <c r="G570" s="59">
        <f t="shared" si="14"/>
        <v>0</v>
      </c>
      <c r="K570" s="93"/>
    </row>
    <row r="571" spans="2:11" s="38" customFormat="1" ht="108" customHeight="1" outlineLevel="1">
      <c r="B571" s="71" t="s">
        <v>663</v>
      </c>
      <c r="C571" s="132" t="s">
        <v>99</v>
      </c>
      <c r="D571" s="51" t="s">
        <v>75</v>
      </c>
      <c r="E571" s="112">
        <v>69.510000000000005</v>
      </c>
      <c r="F571" s="4"/>
      <c r="G571" s="59">
        <f t="shared" si="14"/>
        <v>0</v>
      </c>
      <c r="K571" s="93"/>
    </row>
    <row r="572" spans="2:11" s="38" customFormat="1" ht="132" customHeight="1" outlineLevel="1">
      <c r="B572" s="71" t="s">
        <v>664</v>
      </c>
      <c r="C572" s="132" t="s">
        <v>340</v>
      </c>
      <c r="D572" s="51" t="s">
        <v>75</v>
      </c>
      <c r="E572" s="112">
        <v>1.68</v>
      </c>
      <c r="F572" s="4"/>
      <c r="G572" s="59">
        <f t="shared" si="14"/>
        <v>0</v>
      </c>
      <c r="K572" s="93"/>
    </row>
    <row r="573" spans="2:11" s="38" customFormat="1" ht="89.25" outlineLevel="1">
      <c r="B573" s="71" t="s">
        <v>665</v>
      </c>
      <c r="C573" s="132" t="s">
        <v>103</v>
      </c>
      <c r="D573" s="115"/>
      <c r="E573" s="112">
        <v>3.58</v>
      </c>
      <c r="G573" s="59">
        <f t="shared" si="14"/>
        <v>0</v>
      </c>
      <c r="K573" s="93"/>
    </row>
    <row r="574" spans="2:11" s="38" customFormat="1" ht="187.5" customHeight="1" outlineLevel="1">
      <c r="B574" s="71" t="s">
        <v>666</v>
      </c>
      <c r="C574" s="130" t="s">
        <v>343</v>
      </c>
      <c r="D574" s="51" t="s">
        <v>75</v>
      </c>
      <c r="E574" s="112">
        <v>5.1100000000000003</v>
      </c>
      <c r="F574" s="4"/>
      <c r="G574" s="59">
        <f t="shared" si="14"/>
        <v>0</v>
      </c>
      <c r="K574" s="93"/>
    </row>
    <row r="575" spans="2:11" s="38" customFormat="1" ht="178.5" outlineLevel="1">
      <c r="B575" s="71" t="s">
        <v>667</v>
      </c>
      <c r="C575" s="132" t="s">
        <v>2614</v>
      </c>
      <c r="D575" s="51" t="s">
        <v>75</v>
      </c>
      <c r="E575" s="112">
        <v>16.940000000000001</v>
      </c>
      <c r="F575" s="4"/>
      <c r="G575" s="59">
        <f t="shared" si="14"/>
        <v>0</v>
      </c>
      <c r="K575" s="93"/>
    </row>
    <row r="576" spans="2:11" s="38" customFormat="1" ht="178.5" outlineLevel="1">
      <c r="B576" s="71" t="s">
        <v>668</v>
      </c>
      <c r="C576" s="130" t="s">
        <v>2617</v>
      </c>
      <c r="D576" s="51" t="s">
        <v>75</v>
      </c>
      <c r="E576" s="112">
        <v>3.46</v>
      </c>
      <c r="F576" s="4"/>
      <c r="G576" s="59">
        <f t="shared" si="14"/>
        <v>0</v>
      </c>
      <c r="K576" s="93"/>
    </row>
    <row r="577" spans="2:11" s="38" customFormat="1" ht="167.25" customHeight="1" outlineLevel="1">
      <c r="B577" s="71" t="s">
        <v>669</v>
      </c>
      <c r="C577" s="132" t="s">
        <v>347</v>
      </c>
      <c r="D577" s="51" t="s">
        <v>75</v>
      </c>
      <c r="E577" s="112">
        <v>3.28</v>
      </c>
      <c r="F577" s="4"/>
      <c r="G577" s="59">
        <f t="shared" si="14"/>
        <v>0</v>
      </c>
      <c r="K577" s="93"/>
    </row>
    <row r="578" spans="2:11" s="38" customFormat="1" ht="89.25" customHeight="1" outlineLevel="1">
      <c r="B578" s="71" t="s">
        <v>670</v>
      </c>
      <c r="C578" s="132" t="s">
        <v>349</v>
      </c>
      <c r="D578" s="51" t="s">
        <v>75</v>
      </c>
      <c r="E578" s="112">
        <v>39.71</v>
      </c>
      <c r="F578" s="4"/>
      <c r="G578" s="59">
        <f t="shared" si="14"/>
        <v>0</v>
      </c>
      <c r="K578" s="93"/>
    </row>
    <row r="579" spans="2:11" s="38" customFormat="1" ht="96.75" customHeight="1" outlineLevel="1">
      <c r="B579" s="71" t="s">
        <v>671</v>
      </c>
      <c r="C579" s="132" t="s">
        <v>351</v>
      </c>
      <c r="D579" s="51" t="s">
        <v>75</v>
      </c>
      <c r="E579" s="112">
        <v>22.28</v>
      </c>
      <c r="F579" s="4"/>
      <c r="G579" s="59">
        <f t="shared" si="14"/>
        <v>0</v>
      </c>
      <c r="K579" s="93"/>
    </row>
    <row r="580" spans="2:11" s="38" customFormat="1" ht="105.75" customHeight="1" outlineLevel="1">
      <c r="B580" s="71" t="s">
        <v>672</v>
      </c>
      <c r="C580" s="132" t="s">
        <v>353</v>
      </c>
      <c r="D580" s="51" t="s">
        <v>75</v>
      </c>
      <c r="E580" s="112">
        <v>3.58</v>
      </c>
      <c r="F580" s="4"/>
      <c r="G580" s="59">
        <f t="shared" si="14"/>
        <v>0</v>
      </c>
      <c r="K580" s="93"/>
    </row>
    <row r="581" spans="2:11" s="38" customFormat="1" ht="99" customHeight="1" outlineLevel="1">
      <c r="B581" s="71" t="s">
        <v>673</v>
      </c>
      <c r="C581" s="132" t="s">
        <v>355</v>
      </c>
      <c r="D581" s="51" t="s">
        <v>84</v>
      </c>
      <c r="E581" s="112">
        <v>7.14</v>
      </c>
      <c r="F581" s="4"/>
      <c r="G581" s="59">
        <f t="shared" si="14"/>
        <v>0</v>
      </c>
      <c r="K581" s="93"/>
    </row>
    <row r="582" spans="2:11" s="38" customFormat="1" ht="111.75" customHeight="1" outlineLevel="1">
      <c r="B582" s="71" t="s">
        <v>674</v>
      </c>
      <c r="C582" s="132" t="s">
        <v>357</v>
      </c>
      <c r="D582" s="51" t="s">
        <v>84</v>
      </c>
      <c r="E582" s="112">
        <v>8.25</v>
      </c>
      <c r="F582" s="4"/>
      <c r="G582" s="59">
        <f t="shared" si="14"/>
        <v>0</v>
      </c>
      <c r="K582" s="93"/>
    </row>
    <row r="583" spans="2:11" s="38" customFormat="1" ht="99.75" customHeight="1" outlineLevel="1">
      <c r="B583" s="71" t="s">
        <v>675</v>
      </c>
      <c r="C583" s="132" t="s">
        <v>121</v>
      </c>
      <c r="D583" s="51" t="s">
        <v>84</v>
      </c>
      <c r="E583" s="112">
        <v>5.5</v>
      </c>
      <c r="F583" s="4"/>
      <c r="G583" s="59">
        <f t="shared" si="14"/>
        <v>0</v>
      </c>
      <c r="K583" s="93"/>
    </row>
    <row r="584" spans="2:11" s="38" customFormat="1" outlineLevel="1">
      <c r="B584" s="71"/>
      <c r="C584" s="50"/>
      <c r="D584" s="51"/>
      <c r="E584" s="112"/>
      <c r="F584" s="4"/>
      <c r="G584" s="59">
        <f t="shared" si="14"/>
        <v>0</v>
      </c>
      <c r="K584" s="93"/>
    </row>
    <row r="585" spans="2:11" s="38" customFormat="1">
      <c r="B585" s="71" t="s">
        <v>676</v>
      </c>
      <c r="C585" s="55" t="s">
        <v>123</v>
      </c>
      <c r="D585" s="56"/>
      <c r="E585" s="124">
        <v>0</v>
      </c>
      <c r="F585" s="4"/>
      <c r="G585" s="59">
        <f t="shared" si="14"/>
        <v>0</v>
      </c>
      <c r="K585" s="93"/>
    </row>
    <row r="586" spans="2:11" s="38" customFormat="1" ht="157.5" customHeight="1" outlineLevel="1">
      <c r="B586" s="71" t="s">
        <v>677</v>
      </c>
      <c r="C586" s="132" t="s">
        <v>361</v>
      </c>
      <c r="D586" s="51" t="s">
        <v>75</v>
      </c>
      <c r="E586" s="112">
        <v>8.56</v>
      </c>
      <c r="F586" s="4"/>
      <c r="G586" s="59">
        <f t="shared" si="14"/>
        <v>0</v>
      </c>
      <c r="K586" s="93"/>
    </row>
    <row r="587" spans="2:11" s="38" customFormat="1" ht="194.25" customHeight="1" outlineLevel="1">
      <c r="B587" s="71" t="s">
        <v>678</v>
      </c>
      <c r="C587" s="132" t="s">
        <v>363</v>
      </c>
      <c r="D587" s="51" t="s">
        <v>75</v>
      </c>
      <c r="E587" s="112">
        <v>7.48</v>
      </c>
      <c r="F587" s="4"/>
      <c r="G587" s="59">
        <f t="shared" si="14"/>
        <v>0</v>
      </c>
      <c r="K587" s="93"/>
    </row>
    <row r="588" spans="2:11" s="38" customFormat="1" ht="135" customHeight="1" outlineLevel="1">
      <c r="B588" s="71" t="s">
        <v>679</v>
      </c>
      <c r="C588" s="132" t="s">
        <v>365</v>
      </c>
      <c r="D588" s="51" t="s">
        <v>84</v>
      </c>
      <c r="E588" s="112">
        <v>5.0199999999999996</v>
      </c>
      <c r="F588" s="4"/>
      <c r="G588" s="59">
        <f t="shared" si="14"/>
        <v>0</v>
      </c>
      <c r="K588" s="93"/>
    </row>
    <row r="589" spans="2:11" s="38" customFormat="1" ht="98.25" customHeight="1" outlineLevel="1">
      <c r="B589" s="71" t="s">
        <v>680</v>
      </c>
      <c r="C589" s="132" t="s">
        <v>131</v>
      </c>
      <c r="D589" s="51" t="s">
        <v>75</v>
      </c>
      <c r="E589" s="112">
        <v>10.83</v>
      </c>
      <c r="F589" s="4"/>
      <c r="G589" s="59">
        <f t="shared" si="14"/>
        <v>0</v>
      </c>
      <c r="K589" s="93"/>
    </row>
    <row r="590" spans="2:11" s="38" customFormat="1" ht="99" customHeight="1" outlineLevel="1">
      <c r="B590" s="71" t="s">
        <v>681</v>
      </c>
      <c r="C590" s="132" t="s">
        <v>368</v>
      </c>
      <c r="D590" s="51" t="s">
        <v>75</v>
      </c>
      <c r="E590" s="112">
        <v>7.22</v>
      </c>
      <c r="F590" s="4"/>
      <c r="G590" s="59">
        <f t="shared" si="14"/>
        <v>0</v>
      </c>
      <c r="K590" s="93"/>
    </row>
    <row r="591" spans="2:11" s="38" customFormat="1" ht="103.5" customHeight="1" outlineLevel="1">
      <c r="B591" s="71" t="s">
        <v>682</v>
      </c>
      <c r="C591" s="132" t="s">
        <v>370</v>
      </c>
      <c r="D591" s="51" t="s">
        <v>75</v>
      </c>
      <c r="E591" s="112">
        <v>7.48</v>
      </c>
      <c r="F591" s="4"/>
      <c r="G591" s="59">
        <f t="shared" si="14"/>
        <v>0</v>
      </c>
      <c r="K591" s="93"/>
    </row>
    <row r="592" spans="2:11" s="38" customFormat="1" ht="88.5" customHeight="1" outlineLevel="1">
      <c r="B592" s="71" t="s">
        <v>683</v>
      </c>
      <c r="C592" s="132" t="s">
        <v>137</v>
      </c>
      <c r="D592" s="51" t="s">
        <v>75</v>
      </c>
      <c r="E592" s="112">
        <v>10.75</v>
      </c>
      <c r="F592" s="4"/>
      <c r="G592" s="59">
        <f t="shared" si="14"/>
        <v>0</v>
      </c>
      <c r="K592" s="93"/>
    </row>
    <row r="593" spans="2:11" s="38" customFormat="1" ht="60" customHeight="1" outlineLevel="1">
      <c r="B593" s="71" t="s">
        <v>684</v>
      </c>
      <c r="C593" s="132" t="s">
        <v>139</v>
      </c>
      <c r="D593" s="51" t="s">
        <v>140</v>
      </c>
      <c r="E593" s="112">
        <v>1</v>
      </c>
      <c r="F593" s="4"/>
      <c r="G593" s="59">
        <f t="shared" si="14"/>
        <v>0</v>
      </c>
      <c r="K593" s="93"/>
    </row>
    <row r="594" spans="2:11" s="38" customFormat="1" ht="90.75" customHeight="1" outlineLevel="1">
      <c r="B594" s="71" t="s">
        <v>685</v>
      </c>
      <c r="C594" s="132" t="s">
        <v>142</v>
      </c>
      <c r="D594" s="51" t="s">
        <v>84</v>
      </c>
      <c r="E594" s="112">
        <v>5.54</v>
      </c>
      <c r="F594" s="4"/>
      <c r="G594" s="59">
        <f t="shared" si="14"/>
        <v>0</v>
      </c>
      <c r="K594" s="93"/>
    </row>
    <row r="595" spans="2:11" s="38" customFormat="1" ht="108" customHeight="1" outlineLevel="1">
      <c r="B595" s="71" t="s">
        <v>686</v>
      </c>
      <c r="C595" s="132" t="s">
        <v>144</v>
      </c>
      <c r="D595" s="51" t="s">
        <v>84</v>
      </c>
      <c r="E595" s="112">
        <v>12.58</v>
      </c>
      <c r="F595" s="4"/>
      <c r="G595" s="59">
        <f t="shared" si="14"/>
        <v>0</v>
      </c>
      <c r="K595" s="93"/>
    </row>
    <row r="596" spans="2:11" s="38" customFormat="1" outlineLevel="1">
      <c r="B596" s="71"/>
      <c r="C596" s="50"/>
      <c r="D596" s="51"/>
      <c r="E596" s="112"/>
      <c r="F596" s="4"/>
      <c r="G596" s="59">
        <f t="shared" si="14"/>
        <v>0</v>
      </c>
      <c r="K596" s="93"/>
    </row>
    <row r="597" spans="2:11" s="38" customFormat="1">
      <c r="B597" s="71" t="s">
        <v>687</v>
      </c>
      <c r="C597" s="55" t="s">
        <v>146</v>
      </c>
      <c r="D597" s="56"/>
      <c r="E597" s="124">
        <v>0</v>
      </c>
      <c r="F597" s="4"/>
      <c r="G597" s="59">
        <f t="shared" si="14"/>
        <v>0</v>
      </c>
      <c r="K597" s="93"/>
    </row>
    <row r="598" spans="2:11" s="38" customFormat="1" ht="177" customHeight="1" outlineLevel="1">
      <c r="B598" s="71" t="s">
        <v>688</v>
      </c>
      <c r="C598" s="130" t="s">
        <v>2637</v>
      </c>
      <c r="D598" s="51" t="s">
        <v>140</v>
      </c>
      <c r="E598" s="112">
        <v>1</v>
      </c>
      <c r="F598" s="4"/>
      <c r="G598" s="59">
        <f t="shared" si="14"/>
        <v>0</v>
      </c>
      <c r="K598" s="93"/>
    </row>
    <row r="599" spans="2:11" s="38" customFormat="1" ht="225" customHeight="1" outlineLevel="1">
      <c r="B599" s="71" t="s">
        <v>689</v>
      </c>
      <c r="C599" s="130" t="s">
        <v>149</v>
      </c>
      <c r="D599" s="51" t="s">
        <v>140</v>
      </c>
      <c r="E599" s="112">
        <v>1</v>
      </c>
      <c r="F599" s="4"/>
      <c r="G599" s="59">
        <f t="shared" si="14"/>
        <v>0</v>
      </c>
      <c r="K599" s="93"/>
    </row>
    <row r="600" spans="2:11" s="38" customFormat="1" outlineLevel="1">
      <c r="B600" s="71"/>
      <c r="C600" s="50"/>
      <c r="D600" s="51"/>
      <c r="E600" s="112"/>
      <c r="F600" s="4"/>
      <c r="G600" s="59">
        <f t="shared" si="14"/>
        <v>0</v>
      </c>
      <c r="K600" s="93"/>
    </row>
    <row r="601" spans="2:11" s="38" customFormat="1">
      <c r="B601" s="71" t="s">
        <v>690</v>
      </c>
      <c r="C601" s="55" t="s">
        <v>151</v>
      </c>
      <c r="D601" s="56"/>
      <c r="E601" s="124">
        <v>0</v>
      </c>
      <c r="F601" s="4"/>
      <c r="G601" s="59">
        <f t="shared" si="14"/>
        <v>0</v>
      </c>
      <c r="K601" s="93"/>
    </row>
    <row r="602" spans="2:11" s="38" customFormat="1" ht="53.25" customHeight="1" outlineLevel="1">
      <c r="B602" s="71" t="s">
        <v>691</v>
      </c>
      <c r="C602" s="132" t="s">
        <v>153</v>
      </c>
      <c r="D602" s="51" t="s">
        <v>140</v>
      </c>
      <c r="E602" s="112">
        <v>1</v>
      </c>
      <c r="F602" s="13"/>
      <c r="G602" s="59">
        <f t="shared" si="14"/>
        <v>0</v>
      </c>
      <c r="K602" s="93"/>
    </row>
    <row r="603" spans="2:11" s="38" customFormat="1" ht="82.5" customHeight="1" outlineLevel="1">
      <c r="B603" s="71" t="s">
        <v>692</v>
      </c>
      <c r="C603" s="132" t="s">
        <v>155</v>
      </c>
      <c r="D603" s="51" t="s">
        <v>140</v>
      </c>
      <c r="E603" s="112">
        <v>1</v>
      </c>
      <c r="F603" s="13"/>
      <c r="G603" s="59">
        <f t="shared" si="14"/>
        <v>0</v>
      </c>
      <c r="K603" s="93"/>
    </row>
    <row r="604" spans="2:11" s="38" customFormat="1" outlineLevel="1">
      <c r="B604" s="71"/>
      <c r="C604" s="50"/>
      <c r="D604" s="51"/>
      <c r="E604" s="112"/>
      <c r="F604" s="13"/>
      <c r="G604" s="59">
        <f t="shared" si="14"/>
        <v>0</v>
      </c>
      <c r="K604" s="93"/>
    </row>
    <row r="605" spans="2:11" s="38" customFormat="1">
      <c r="B605" s="71" t="s">
        <v>693</v>
      </c>
      <c r="C605" s="55" t="s">
        <v>157</v>
      </c>
      <c r="D605" s="56"/>
      <c r="E605" s="124">
        <v>0</v>
      </c>
      <c r="F605" s="4">
        <v>0</v>
      </c>
      <c r="G605" s="59">
        <f t="shared" si="14"/>
        <v>0</v>
      </c>
      <c r="K605" s="93"/>
    </row>
    <row r="606" spans="2:11" s="38" customFormat="1" ht="49.5" customHeight="1" outlineLevel="1">
      <c r="B606" s="98"/>
      <c r="C606" s="132" t="s">
        <v>158</v>
      </c>
      <c r="D606" s="51"/>
      <c r="E606" s="112"/>
      <c r="F606" s="4"/>
      <c r="G606" s="59">
        <f t="shared" si="14"/>
        <v>0</v>
      </c>
      <c r="K606" s="93"/>
    </row>
    <row r="607" spans="2:11" s="38" customFormat="1" ht="53.25" customHeight="1" outlineLevel="1">
      <c r="B607" s="71" t="s">
        <v>694</v>
      </c>
      <c r="C607" s="132" t="s">
        <v>160</v>
      </c>
      <c r="D607" s="51" t="s">
        <v>140</v>
      </c>
      <c r="E607" s="112">
        <v>1</v>
      </c>
      <c r="F607" s="4"/>
      <c r="G607" s="59">
        <f t="shared" si="14"/>
        <v>0</v>
      </c>
      <c r="K607" s="100"/>
    </row>
    <row r="608" spans="2:11" s="38" customFormat="1" ht="47.25" customHeight="1" outlineLevel="1">
      <c r="B608" s="71" t="s">
        <v>695</v>
      </c>
      <c r="C608" s="132" t="s">
        <v>162</v>
      </c>
      <c r="D608" s="51" t="s">
        <v>140</v>
      </c>
      <c r="E608" s="112">
        <v>1</v>
      </c>
      <c r="F608" s="4"/>
      <c r="G608" s="59">
        <f t="shared" si="14"/>
        <v>0</v>
      </c>
      <c r="K608" s="100"/>
    </row>
    <row r="609" spans="2:11" s="38" customFormat="1" ht="60" customHeight="1" outlineLevel="1">
      <c r="B609" s="71" t="s">
        <v>696</v>
      </c>
      <c r="C609" s="132" t="s">
        <v>164</v>
      </c>
      <c r="D609" s="51" t="s">
        <v>140</v>
      </c>
      <c r="E609" s="112">
        <v>1</v>
      </c>
      <c r="F609" s="4"/>
      <c r="G609" s="59">
        <f t="shared" si="14"/>
        <v>0</v>
      </c>
      <c r="K609" s="100"/>
    </row>
    <row r="610" spans="2:11" s="38" customFormat="1" ht="142.5" customHeight="1" outlineLevel="1">
      <c r="B610" s="71" t="s">
        <v>697</v>
      </c>
      <c r="C610" s="132" t="s">
        <v>698</v>
      </c>
      <c r="D610" s="51" t="s">
        <v>140</v>
      </c>
      <c r="E610" s="112">
        <v>1</v>
      </c>
      <c r="F610" s="4"/>
      <c r="G610" s="59">
        <f t="shared" si="14"/>
        <v>0</v>
      </c>
      <c r="K610" s="100"/>
    </row>
    <row r="611" spans="2:11" s="38" customFormat="1" ht="104.25" customHeight="1" outlineLevel="1">
      <c r="B611" s="71" t="s">
        <v>699</v>
      </c>
      <c r="C611" s="132" t="s">
        <v>700</v>
      </c>
      <c r="D611" s="51" t="s">
        <v>140</v>
      </c>
      <c r="E611" s="112">
        <v>1</v>
      </c>
      <c r="F611" s="4"/>
      <c r="G611" s="59">
        <f t="shared" si="14"/>
        <v>0</v>
      </c>
      <c r="K611" s="100"/>
    </row>
    <row r="612" spans="2:11" s="38" customFormat="1" ht="67.5" customHeight="1" outlineLevel="1">
      <c r="B612" s="71" t="s">
        <v>701</v>
      </c>
      <c r="C612" s="132" t="s">
        <v>170</v>
      </c>
      <c r="D612" s="51" t="s">
        <v>140</v>
      </c>
      <c r="E612" s="112">
        <v>1</v>
      </c>
      <c r="F612" s="4"/>
      <c r="G612" s="59">
        <f t="shared" si="14"/>
        <v>0</v>
      </c>
      <c r="K612" s="100"/>
    </row>
    <row r="613" spans="2:11" s="38" customFormat="1" ht="68.25" customHeight="1" outlineLevel="1">
      <c r="B613" s="71" t="s">
        <v>702</v>
      </c>
      <c r="C613" s="132" t="s">
        <v>172</v>
      </c>
      <c r="D613" s="51" t="s">
        <v>140</v>
      </c>
      <c r="E613" s="112">
        <v>1</v>
      </c>
      <c r="F613" s="4"/>
      <c r="G613" s="59">
        <f t="shared" si="14"/>
        <v>0</v>
      </c>
      <c r="K613" s="100"/>
    </row>
    <row r="614" spans="2:11" s="38" customFormat="1" ht="58.5" customHeight="1" outlineLevel="1">
      <c r="B614" s="71" t="s">
        <v>703</v>
      </c>
      <c r="C614" s="132" t="s">
        <v>174</v>
      </c>
      <c r="D614" s="51" t="s">
        <v>140</v>
      </c>
      <c r="E614" s="112">
        <v>1</v>
      </c>
      <c r="F614" s="4"/>
      <c r="G614" s="59">
        <f t="shared" si="14"/>
        <v>0</v>
      </c>
      <c r="K614" s="100"/>
    </row>
    <row r="615" spans="2:11" s="38" customFormat="1" ht="64.5" customHeight="1" outlineLevel="1">
      <c r="B615" s="71" t="s">
        <v>704</v>
      </c>
      <c r="C615" s="132" t="s">
        <v>2638</v>
      </c>
      <c r="D615" s="51" t="s">
        <v>140</v>
      </c>
      <c r="E615" s="112">
        <v>1</v>
      </c>
      <c r="F615" s="4"/>
      <c r="G615" s="59">
        <f t="shared" ref="G615:G631" si="15">E615*F615</f>
        <v>0</v>
      </c>
      <c r="K615" s="100"/>
    </row>
    <row r="616" spans="2:11" s="38" customFormat="1" ht="51.75" customHeight="1" outlineLevel="1">
      <c r="B616" s="71" t="s">
        <v>705</v>
      </c>
      <c r="C616" s="132" t="s">
        <v>177</v>
      </c>
      <c r="D616" s="51" t="s">
        <v>140</v>
      </c>
      <c r="E616" s="112">
        <v>1</v>
      </c>
      <c r="F616" s="4"/>
      <c r="G616" s="59">
        <f t="shared" si="15"/>
        <v>0</v>
      </c>
      <c r="K616" s="100"/>
    </row>
    <row r="617" spans="2:11" s="38" customFormat="1" ht="73.5" customHeight="1" outlineLevel="1">
      <c r="B617" s="71" t="s">
        <v>706</v>
      </c>
      <c r="C617" s="132" t="s">
        <v>179</v>
      </c>
      <c r="D617" s="51" t="s">
        <v>140</v>
      </c>
      <c r="E617" s="112">
        <v>1</v>
      </c>
      <c r="F617" s="4"/>
      <c r="G617" s="59">
        <f t="shared" si="15"/>
        <v>0</v>
      </c>
      <c r="K617" s="100"/>
    </row>
    <row r="618" spans="2:11" s="38" customFormat="1" ht="64.5" customHeight="1" outlineLevel="1">
      <c r="B618" s="71" t="s">
        <v>707</v>
      </c>
      <c r="C618" s="132" t="s">
        <v>181</v>
      </c>
      <c r="D618" s="51" t="s">
        <v>140</v>
      </c>
      <c r="E618" s="112">
        <v>1</v>
      </c>
      <c r="F618" s="4"/>
      <c r="G618" s="59">
        <f t="shared" si="15"/>
        <v>0</v>
      </c>
      <c r="K618" s="100"/>
    </row>
    <row r="619" spans="2:11" s="38" customFormat="1" ht="25.5" outlineLevel="1">
      <c r="B619" s="71" t="s">
        <v>708</v>
      </c>
      <c r="C619" s="132" t="s">
        <v>183</v>
      </c>
      <c r="D619" s="51" t="s">
        <v>140</v>
      </c>
      <c r="E619" s="112">
        <v>1</v>
      </c>
      <c r="F619" s="4"/>
      <c r="G619" s="59">
        <f t="shared" si="15"/>
        <v>0</v>
      </c>
      <c r="K619" s="100"/>
    </row>
    <row r="620" spans="2:11" s="38" customFormat="1" ht="50.25" customHeight="1" outlineLevel="1">
      <c r="B620" s="71" t="s">
        <v>709</v>
      </c>
      <c r="C620" s="132" t="s">
        <v>185</v>
      </c>
      <c r="D620" s="51" t="s">
        <v>140</v>
      </c>
      <c r="E620" s="112">
        <v>2</v>
      </c>
      <c r="F620" s="4">
        <v>0</v>
      </c>
      <c r="G620" s="59">
        <f t="shared" si="15"/>
        <v>0</v>
      </c>
      <c r="K620" s="100"/>
    </row>
    <row r="621" spans="2:11" s="38" customFormat="1" ht="55.5" customHeight="1" outlineLevel="1">
      <c r="B621" s="71" t="s">
        <v>710</v>
      </c>
      <c r="C621" s="132" t="s">
        <v>187</v>
      </c>
      <c r="D621" s="51" t="s">
        <v>140</v>
      </c>
      <c r="E621" s="112">
        <v>1</v>
      </c>
      <c r="F621" s="4">
        <v>0</v>
      </c>
      <c r="G621" s="59">
        <f t="shared" si="15"/>
        <v>0</v>
      </c>
      <c r="K621" s="100"/>
    </row>
    <row r="622" spans="2:11" s="38" customFormat="1" ht="55.5" customHeight="1" outlineLevel="1">
      <c r="B622" s="71" t="s">
        <v>711</v>
      </c>
      <c r="C622" s="132" t="s">
        <v>189</v>
      </c>
      <c r="D622" s="51" t="s">
        <v>140</v>
      </c>
      <c r="E622" s="112">
        <v>2</v>
      </c>
      <c r="F622" s="4">
        <v>0</v>
      </c>
      <c r="G622" s="59">
        <f t="shared" si="15"/>
        <v>0</v>
      </c>
      <c r="K622" s="100"/>
    </row>
    <row r="623" spans="2:11" s="38" customFormat="1" ht="39" customHeight="1" outlineLevel="1">
      <c r="B623" s="71" t="s">
        <v>712</v>
      </c>
      <c r="C623" s="132" t="s">
        <v>191</v>
      </c>
      <c r="D623" s="51" t="s">
        <v>140</v>
      </c>
      <c r="E623" s="112">
        <v>1</v>
      </c>
      <c r="F623" s="4">
        <v>0</v>
      </c>
      <c r="G623" s="59">
        <f t="shared" si="15"/>
        <v>0</v>
      </c>
      <c r="K623" s="100"/>
    </row>
    <row r="624" spans="2:11" s="38" customFormat="1" ht="51.75" customHeight="1" outlineLevel="1">
      <c r="B624" s="71" t="s">
        <v>713</v>
      </c>
      <c r="C624" s="132" t="s">
        <v>193</v>
      </c>
      <c r="D624" s="51" t="s">
        <v>140</v>
      </c>
      <c r="E624" s="112">
        <v>1</v>
      </c>
      <c r="F624" s="4"/>
      <c r="G624" s="59">
        <f t="shared" si="15"/>
        <v>0</v>
      </c>
      <c r="K624" s="100"/>
    </row>
    <row r="625" spans="2:11" s="38" customFormat="1" ht="156.75" customHeight="1" outlineLevel="1">
      <c r="B625" s="71" t="s">
        <v>714</v>
      </c>
      <c r="C625" s="132" t="s">
        <v>195</v>
      </c>
      <c r="D625" s="51" t="s">
        <v>140</v>
      </c>
      <c r="E625" s="112">
        <v>1</v>
      </c>
      <c r="F625" s="4">
        <v>0</v>
      </c>
      <c r="G625" s="59">
        <f t="shared" si="15"/>
        <v>0</v>
      </c>
      <c r="K625" s="100"/>
    </row>
    <row r="626" spans="2:11" s="38" customFormat="1" ht="74.25" customHeight="1" outlineLevel="1">
      <c r="B626" s="71" t="s">
        <v>715</v>
      </c>
      <c r="C626" s="132" t="s">
        <v>197</v>
      </c>
      <c r="D626" s="51" t="s">
        <v>140</v>
      </c>
      <c r="E626" s="112">
        <v>1</v>
      </c>
      <c r="F626" s="4"/>
      <c r="G626" s="59">
        <f t="shared" si="15"/>
        <v>0</v>
      </c>
      <c r="K626" s="100"/>
    </row>
    <row r="627" spans="2:11" s="38" customFormat="1" ht="96" customHeight="1" outlineLevel="1">
      <c r="B627" s="71" t="s">
        <v>716</v>
      </c>
      <c r="C627" s="132" t="s">
        <v>2628</v>
      </c>
      <c r="D627" s="51" t="s">
        <v>140</v>
      </c>
      <c r="E627" s="112">
        <v>1</v>
      </c>
      <c r="F627" s="4"/>
      <c r="G627" s="59">
        <f t="shared" si="15"/>
        <v>0</v>
      </c>
      <c r="K627" s="93"/>
    </row>
    <row r="628" spans="2:11" s="38" customFormat="1" ht="101.25" customHeight="1" outlineLevel="1">
      <c r="B628" s="71" t="s">
        <v>717</v>
      </c>
      <c r="C628" s="132" t="s">
        <v>718</v>
      </c>
      <c r="D628" s="51" t="s">
        <v>140</v>
      </c>
      <c r="E628" s="112">
        <v>1</v>
      </c>
      <c r="F628" s="4"/>
      <c r="G628" s="59">
        <f t="shared" si="15"/>
        <v>0</v>
      </c>
      <c r="K628" s="93"/>
    </row>
    <row r="629" spans="2:11" s="38" customFormat="1" ht="30.75" customHeight="1" outlineLevel="1">
      <c r="B629" s="71" t="s">
        <v>719</v>
      </c>
      <c r="C629" s="50" t="s">
        <v>720</v>
      </c>
      <c r="D629" s="51" t="s">
        <v>140</v>
      </c>
      <c r="E629" s="112">
        <v>1</v>
      </c>
      <c r="F629" s="4"/>
      <c r="G629" s="59">
        <f t="shared" si="15"/>
        <v>0</v>
      </c>
      <c r="K629" s="93"/>
    </row>
    <row r="630" spans="2:11" s="38" customFormat="1" outlineLevel="1">
      <c r="B630" s="71"/>
      <c r="C630" s="50"/>
      <c r="D630" s="51"/>
      <c r="E630" s="112"/>
      <c r="F630" s="4"/>
      <c r="G630" s="59">
        <f t="shared" si="15"/>
        <v>0</v>
      </c>
      <c r="K630" s="93"/>
    </row>
    <row r="631" spans="2:11" s="38" customFormat="1">
      <c r="B631" s="71" t="s">
        <v>721</v>
      </c>
      <c r="C631" s="55" t="s">
        <v>202</v>
      </c>
      <c r="D631" s="56"/>
      <c r="E631" s="124">
        <v>0</v>
      </c>
      <c r="F631" s="4"/>
      <c r="G631" s="59">
        <f t="shared" si="15"/>
        <v>0</v>
      </c>
      <c r="K631" s="100"/>
    </row>
    <row r="632" spans="2:11" s="38" customFormat="1" ht="63.75" outlineLevel="1">
      <c r="B632" s="71" t="s">
        <v>722</v>
      </c>
      <c r="C632" s="132" t="s">
        <v>204</v>
      </c>
      <c r="D632" s="51" t="s">
        <v>84</v>
      </c>
      <c r="E632" s="112">
        <v>3.4</v>
      </c>
      <c r="F632" s="4"/>
      <c r="G632" s="59">
        <f>E632*F632</f>
        <v>0</v>
      </c>
      <c r="K632" s="100"/>
    </row>
    <row r="633" spans="2:11" s="38" customFormat="1">
      <c r="B633" s="71"/>
      <c r="C633" s="55"/>
      <c r="D633" s="56"/>
      <c r="E633" s="124"/>
      <c r="F633" s="4"/>
      <c r="G633" s="4"/>
      <c r="K633" s="100"/>
    </row>
    <row r="634" spans="2:11" s="38" customFormat="1">
      <c r="B634" s="72" t="s">
        <v>723</v>
      </c>
      <c r="C634" s="52"/>
      <c r="D634" s="15"/>
      <c r="E634" s="122"/>
      <c r="F634" s="54"/>
      <c r="G634" s="58">
        <f>SUM(G524:G633)</f>
        <v>0</v>
      </c>
      <c r="K634" s="93"/>
    </row>
    <row r="635" spans="2:11" s="38" customFormat="1" outlineLevel="1">
      <c r="B635" s="71"/>
      <c r="C635" s="50"/>
      <c r="D635" s="51"/>
      <c r="E635" s="112"/>
      <c r="F635" s="4"/>
      <c r="G635" s="59"/>
      <c r="K635" s="100"/>
    </row>
    <row r="636" spans="2:11" s="38" customFormat="1">
      <c r="B636" s="114" t="s">
        <v>724</v>
      </c>
      <c r="C636" s="52"/>
      <c r="D636" s="15"/>
      <c r="E636" s="122"/>
      <c r="F636" s="54"/>
      <c r="G636" s="58"/>
      <c r="K636" s="93"/>
    </row>
    <row r="637" spans="2:11" s="38" customFormat="1" ht="38.25">
      <c r="B637" s="116"/>
      <c r="C637" s="55" t="s">
        <v>207</v>
      </c>
      <c r="D637" s="11" t="s">
        <v>140</v>
      </c>
      <c r="E637" s="112">
        <v>5</v>
      </c>
      <c r="F637" s="13"/>
      <c r="G637" s="113">
        <f>E637*G634</f>
        <v>0</v>
      </c>
      <c r="K637" s="93"/>
    </row>
    <row r="638" spans="2:11" s="38" customFormat="1">
      <c r="B638" s="116"/>
      <c r="C638" s="55"/>
      <c r="D638" s="11"/>
      <c r="E638" s="121"/>
      <c r="F638" s="13"/>
      <c r="G638" s="113"/>
      <c r="K638" s="93"/>
    </row>
    <row r="639" spans="2:11" s="38" customFormat="1">
      <c r="B639" s="72">
        <v>3.8</v>
      </c>
      <c r="C639" s="70" t="s">
        <v>725</v>
      </c>
      <c r="D639" s="49"/>
      <c r="E639" s="123">
        <v>0</v>
      </c>
      <c r="F639" s="54">
        <v>0</v>
      </c>
      <c r="G639" s="58"/>
      <c r="K639" s="93"/>
    </row>
    <row r="640" spans="2:11" s="38" customFormat="1">
      <c r="B640" s="116"/>
      <c r="D640" s="56"/>
      <c r="E640" s="124"/>
      <c r="F640" s="13"/>
      <c r="G640" s="113"/>
      <c r="K640" s="93"/>
    </row>
    <row r="641" spans="2:11" s="38" customFormat="1" ht="38.25">
      <c r="B641" s="116"/>
      <c r="C641" s="50" t="s">
        <v>60</v>
      </c>
      <c r="D641" s="56"/>
      <c r="E641" s="124"/>
      <c r="F641" s="13"/>
      <c r="G641" s="113"/>
      <c r="K641" s="93"/>
    </row>
    <row r="642" spans="2:11" s="38" customFormat="1">
      <c r="B642" s="116"/>
      <c r="C642" s="116"/>
      <c r="D642" s="56"/>
      <c r="E642" s="124"/>
      <c r="F642" s="13"/>
      <c r="G642" s="59">
        <f t="shared" ref="G642:G705" si="16">E642*F642</f>
        <v>0</v>
      </c>
      <c r="K642" s="93"/>
    </row>
    <row r="643" spans="2:11" s="38" customFormat="1">
      <c r="B643" s="71" t="s">
        <v>726</v>
      </c>
      <c r="C643" s="55" t="s">
        <v>62</v>
      </c>
      <c r="D643" s="56"/>
      <c r="E643" s="124">
        <v>0</v>
      </c>
      <c r="F643" s="13">
        <v>0</v>
      </c>
      <c r="G643" s="59">
        <f t="shared" si="16"/>
        <v>0</v>
      </c>
      <c r="K643" s="93"/>
    </row>
    <row r="644" spans="2:11" s="38" customFormat="1" ht="204" customHeight="1" outlineLevel="1">
      <c r="B644" s="71" t="s">
        <v>727</v>
      </c>
      <c r="C644" s="132" t="s">
        <v>64</v>
      </c>
      <c r="D644" s="51" t="s">
        <v>38</v>
      </c>
      <c r="E644" s="112">
        <v>1</v>
      </c>
      <c r="F644" s="4"/>
      <c r="G644" s="59">
        <f t="shared" si="16"/>
        <v>0</v>
      </c>
      <c r="K644" s="93"/>
    </row>
    <row r="645" spans="2:11" s="38" customFormat="1" outlineLevel="1">
      <c r="B645" s="71"/>
      <c r="C645" s="50"/>
      <c r="D645" s="51"/>
      <c r="E645" s="112"/>
      <c r="F645" s="4"/>
      <c r="G645" s="59">
        <f t="shared" si="16"/>
        <v>0</v>
      </c>
      <c r="K645" s="93"/>
    </row>
    <row r="646" spans="2:11" s="38" customFormat="1">
      <c r="B646" s="71" t="s">
        <v>728</v>
      </c>
      <c r="C646" s="55" t="s">
        <v>66</v>
      </c>
      <c r="D646" s="56"/>
      <c r="E646" s="124">
        <v>0</v>
      </c>
      <c r="F646" s="13"/>
      <c r="G646" s="59">
        <f t="shared" si="16"/>
        <v>0</v>
      </c>
      <c r="K646" s="93"/>
    </row>
    <row r="647" spans="2:11" s="38" customFormat="1" ht="38.25" outlineLevel="1">
      <c r="B647" s="71" t="s">
        <v>729</v>
      </c>
      <c r="C647" s="132" t="s">
        <v>68</v>
      </c>
      <c r="D647" s="51" t="s">
        <v>38</v>
      </c>
      <c r="E647" s="112">
        <v>1</v>
      </c>
      <c r="F647" s="4"/>
      <c r="G647" s="59">
        <f t="shared" si="16"/>
        <v>0</v>
      </c>
      <c r="K647" s="100"/>
    </row>
    <row r="648" spans="2:11" s="38" customFormat="1" ht="51" outlineLevel="1">
      <c r="B648" s="71" t="s">
        <v>730</v>
      </c>
      <c r="C648" s="132" t="s">
        <v>70</v>
      </c>
      <c r="D648" s="51" t="s">
        <v>38</v>
      </c>
      <c r="E648" s="112">
        <v>1</v>
      </c>
      <c r="F648" s="4"/>
      <c r="G648" s="59">
        <f t="shared" si="16"/>
        <v>0</v>
      </c>
      <c r="K648" s="100"/>
    </row>
    <row r="649" spans="2:11" s="38" customFormat="1">
      <c r="B649" s="71" t="s">
        <v>731</v>
      </c>
      <c r="C649" s="55" t="s">
        <v>72</v>
      </c>
      <c r="D649" s="56"/>
      <c r="E649" s="124">
        <v>0</v>
      </c>
      <c r="F649" s="4">
        <v>0</v>
      </c>
      <c r="G649" s="59">
        <f t="shared" si="16"/>
        <v>0</v>
      </c>
      <c r="K649" s="93"/>
    </row>
    <row r="650" spans="2:11" s="38" customFormat="1" ht="114.75" outlineLevel="1">
      <c r="B650" s="71" t="s">
        <v>732</v>
      </c>
      <c r="C650" s="132" t="s">
        <v>324</v>
      </c>
      <c r="D650" s="51" t="s">
        <v>75</v>
      </c>
      <c r="E650" s="112">
        <v>23.61</v>
      </c>
      <c r="F650" s="4"/>
      <c r="G650" s="59">
        <f t="shared" si="16"/>
        <v>0</v>
      </c>
      <c r="K650" s="93"/>
    </row>
    <row r="651" spans="2:11" s="38" customFormat="1" ht="76.5" outlineLevel="1">
      <c r="B651" s="71" t="s">
        <v>733</v>
      </c>
      <c r="C651" s="132" t="s">
        <v>77</v>
      </c>
      <c r="D651" s="51" t="s">
        <v>75</v>
      </c>
      <c r="E651" s="112">
        <v>12.84</v>
      </c>
      <c r="F651" s="4"/>
      <c r="G651" s="59">
        <f t="shared" si="16"/>
        <v>0</v>
      </c>
      <c r="K651" s="93"/>
    </row>
    <row r="652" spans="2:11" s="38" customFormat="1" ht="73.5" customHeight="1" outlineLevel="1">
      <c r="B652" s="71" t="s">
        <v>734</v>
      </c>
      <c r="C652" s="132" t="s">
        <v>327</v>
      </c>
      <c r="D652" s="51" t="s">
        <v>75</v>
      </c>
      <c r="E652" s="112">
        <v>28.37</v>
      </c>
      <c r="F652" s="57"/>
      <c r="G652" s="59">
        <f t="shared" si="16"/>
        <v>0</v>
      </c>
      <c r="K652" s="93"/>
    </row>
    <row r="653" spans="2:11" s="38" customFormat="1" ht="105" customHeight="1" outlineLevel="1">
      <c r="B653" s="71" t="s">
        <v>735</v>
      </c>
      <c r="C653" s="132" t="s">
        <v>329</v>
      </c>
      <c r="D653" s="51" t="s">
        <v>75</v>
      </c>
      <c r="E653" s="112">
        <v>3.76</v>
      </c>
      <c r="F653" s="4"/>
      <c r="G653" s="59">
        <f t="shared" si="16"/>
        <v>0</v>
      </c>
      <c r="K653" s="93"/>
    </row>
    <row r="654" spans="2:11" s="38" customFormat="1" ht="79.5" customHeight="1" outlineLevel="1">
      <c r="B654" s="71" t="s">
        <v>736</v>
      </c>
      <c r="C654" s="132" t="s">
        <v>331</v>
      </c>
      <c r="D654" s="51" t="s">
        <v>84</v>
      </c>
      <c r="E654" s="112">
        <v>1.8</v>
      </c>
      <c r="F654" s="4"/>
      <c r="G654" s="59">
        <f t="shared" si="16"/>
        <v>0</v>
      </c>
      <c r="K654" s="93"/>
    </row>
    <row r="655" spans="2:11" s="38" customFormat="1" ht="51" customHeight="1" outlineLevel="1">
      <c r="B655" s="71" t="s">
        <v>737</v>
      </c>
      <c r="C655" s="132" t="s">
        <v>86</v>
      </c>
      <c r="D655" s="51" t="s">
        <v>84</v>
      </c>
      <c r="E655" s="112">
        <v>13.47</v>
      </c>
      <c r="F655" s="4"/>
      <c r="G655" s="59">
        <f t="shared" si="16"/>
        <v>0</v>
      </c>
      <c r="K655" s="93"/>
    </row>
    <row r="656" spans="2:11" s="38" customFormat="1" ht="44.25" customHeight="1" outlineLevel="1">
      <c r="B656" s="71" t="s">
        <v>738</v>
      </c>
      <c r="C656" s="132" t="s">
        <v>88</v>
      </c>
      <c r="D656" s="51" t="s">
        <v>84</v>
      </c>
      <c r="E656" s="112">
        <v>4.62</v>
      </c>
      <c r="F656" s="4"/>
      <c r="G656" s="59">
        <f t="shared" si="16"/>
        <v>0</v>
      </c>
      <c r="K656" s="93"/>
    </row>
    <row r="657" spans="2:11" s="38" customFormat="1" ht="114.75" outlineLevel="1">
      <c r="B657" s="71" t="s">
        <v>739</v>
      </c>
      <c r="C657" s="130" t="s">
        <v>335</v>
      </c>
      <c r="D657" s="51" t="s">
        <v>91</v>
      </c>
      <c r="E657" s="112">
        <v>1</v>
      </c>
      <c r="F657" s="4"/>
      <c r="G657" s="59">
        <f t="shared" si="16"/>
        <v>0</v>
      </c>
      <c r="K657" s="93"/>
    </row>
    <row r="658" spans="2:11" s="38" customFormat="1" outlineLevel="1">
      <c r="B658" s="71"/>
      <c r="C658" s="50"/>
      <c r="D658" s="51"/>
      <c r="E658" s="112"/>
      <c r="F658" s="4"/>
      <c r="G658" s="59">
        <f t="shared" si="16"/>
        <v>0</v>
      </c>
      <c r="K658" s="93"/>
    </row>
    <row r="659" spans="2:11" s="38" customFormat="1">
      <c r="B659" s="71" t="s">
        <v>740</v>
      </c>
      <c r="C659" s="55" t="s">
        <v>93</v>
      </c>
      <c r="D659" s="56"/>
      <c r="E659" s="124">
        <v>0</v>
      </c>
      <c r="F659" s="4">
        <v>0</v>
      </c>
      <c r="G659" s="59">
        <f t="shared" si="16"/>
        <v>0</v>
      </c>
      <c r="K659" s="93"/>
    </row>
    <row r="660" spans="2:11" s="38" customFormat="1" ht="75.75" customHeight="1" outlineLevel="1">
      <c r="B660" s="71" t="s">
        <v>741</v>
      </c>
      <c r="C660" s="132" t="s">
        <v>97</v>
      </c>
      <c r="D660" s="51" t="s">
        <v>75</v>
      </c>
      <c r="E660" s="112">
        <v>26.73</v>
      </c>
      <c r="F660" s="4"/>
      <c r="G660" s="59">
        <f t="shared" si="16"/>
        <v>0</v>
      </c>
      <c r="K660" s="93"/>
    </row>
    <row r="661" spans="2:11" s="38" customFormat="1" ht="111" customHeight="1" outlineLevel="1">
      <c r="B661" s="71" t="s">
        <v>742</v>
      </c>
      <c r="C661" s="132" t="s">
        <v>99</v>
      </c>
      <c r="D661" s="51" t="s">
        <v>75</v>
      </c>
      <c r="E661" s="112">
        <v>46.64</v>
      </c>
      <c r="F661" s="4"/>
      <c r="G661" s="59">
        <f t="shared" si="16"/>
        <v>0</v>
      </c>
      <c r="K661" s="93"/>
    </row>
    <row r="662" spans="2:11" s="38" customFormat="1" ht="130.5" customHeight="1" outlineLevel="1">
      <c r="B662" s="71" t="s">
        <v>743</v>
      </c>
      <c r="C662" s="132" t="s">
        <v>340</v>
      </c>
      <c r="D662" s="51" t="s">
        <v>75</v>
      </c>
      <c r="E662" s="112">
        <v>1.44</v>
      </c>
      <c r="F662" s="4"/>
      <c r="G662" s="59">
        <f t="shared" si="16"/>
        <v>0</v>
      </c>
      <c r="K662" s="93"/>
    </row>
    <row r="663" spans="2:11" s="38" customFormat="1" ht="89.25" outlineLevel="1">
      <c r="B663" s="71" t="s">
        <v>744</v>
      </c>
      <c r="C663" s="132" t="s">
        <v>103</v>
      </c>
      <c r="D663" s="115"/>
      <c r="E663" s="112">
        <v>8.52</v>
      </c>
      <c r="G663" s="59">
        <f t="shared" si="16"/>
        <v>0</v>
      </c>
      <c r="K663" s="93"/>
    </row>
    <row r="664" spans="2:11" s="38" customFormat="1" ht="174.75" customHeight="1" outlineLevel="1">
      <c r="B664" s="71" t="s">
        <v>745</v>
      </c>
      <c r="C664" s="130" t="s">
        <v>343</v>
      </c>
      <c r="D664" s="51" t="s">
        <v>75</v>
      </c>
      <c r="E664" s="112">
        <v>5.53</v>
      </c>
      <c r="F664" s="4"/>
      <c r="G664" s="59">
        <f t="shared" si="16"/>
        <v>0</v>
      </c>
      <c r="K664" s="93"/>
    </row>
    <row r="665" spans="2:11" s="38" customFormat="1" ht="178.5" outlineLevel="1">
      <c r="B665" s="71" t="s">
        <v>746</v>
      </c>
      <c r="C665" s="132" t="s">
        <v>2614</v>
      </c>
      <c r="D665" s="51" t="s">
        <v>75</v>
      </c>
      <c r="E665" s="112">
        <v>8.0299999999999994</v>
      </c>
      <c r="F665" s="4"/>
      <c r="G665" s="59">
        <f t="shared" si="16"/>
        <v>0</v>
      </c>
      <c r="K665" s="93"/>
    </row>
    <row r="666" spans="2:11" s="38" customFormat="1" ht="178.5" outlineLevel="1">
      <c r="B666" s="71" t="s">
        <v>747</v>
      </c>
      <c r="C666" s="130" t="s">
        <v>2617</v>
      </c>
      <c r="D666" s="51" t="s">
        <v>75</v>
      </c>
      <c r="E666" s="112">
        <v>2.4700000000000002</v>
      </c>
      <c r="F666" s="4"/>
      <c r="G666" s="59">
        <f t="shared" si="16"/>
        <v>0</v>
      </c>
      <c r="K666" s="93"/>
    </row>
    <row r="667" spans="2:11" s="38" customFormat="1" ht="120.75" customHeight="1" outlineLevel="1">
      <c r="B667" s="71" t="s">
        <v>748</v>
      </c>
      <c r="C667" s="132" t="s">
        <v>347</v>
      </c>
      <c r="D667" s="51" t="s">
        <v>75</v>
      </c>
      <c r="E667" s="112">
        <v>3.5</v>
      </c>
      <c r="F667" s="4"/>
      <c r="G667" s="59">
        <f t="shared" si="16"/>
        <v>0</v>
      </c>
      <c r="K667" s="93"/>
    </row>
    <row r="668" spans="2:11" s="38" customFormat="1" ht="85.5" customHeight="1" outlineLevel="1">
      <c r="B668" s="71" t="s">
        <v>749</v>
      </c>
      <c r="C668" s="132" t="s">
        <v>349</v>
      </c>
      <c r="D668" s="51" t="s">
        <v>75</v>
      </c>
      <c r="E668" s="112">
        <v>32.54</v>
      </c>
      <c r="F668" s="4"/>
      <c r="G668" s="59">
        <f t="shared" si="16"/>
        <v>0</v>
      </c>
      <c r="K668" s="93"/>
    </row>
    <row r="669" spans="2:11" s="38" customFormat="1" ht="90.75" customHeight="1" outlineLevel="1">
      <c r="B669" s="71" t="s">
        <v>750</v>
      </c>
      <c r="C669" s="132" t="s">
        <v>351</v>
      </c>
      <c r="D669" s="51" t="s">
        <v>75</v>
      </c>
      <c r="E669" s="112">
        <v>9.24</v>
      </c>
      <c r="F669" s="4"/>
      <c r="G669" s="59">
        <f t="shared" si="16"/>
        <v>0</v>
      </c>
      <c r="K669" s="93"/>
    </row>
    <row r="670" spans="2:11" s="38" customFormat="1" ht="100.5" customHeight="1" outlineLevel="1">
      <c r="B670" s="71" t="s">
        <v>751</v>
      </c>
      <c r="C670" s="132" t="s">
        <v>353</v>
      </c>
      <c r="D670" s="51" t="s">
        <v>75</v>
      </c>
      <c r="E670" s="112">
        <v>6.81</v>
      </c>
      <c r="F670" s="4"/>
      <c r="G670" s="59">
        <f t="shared" si="16"/>
        <v>0</v>
      </c>
      <c r="K670" s="93"/>
    </row>
    <row r="671" spans="2:11" s="38" customFormat="1" ht="101.25" customHeight="1" outlineLevel="1">
      <c r="B671" s="71" t="s">
        <v>752</v>
      </c>
      <c r="C671" s="132" t="s">
        <v>355</v>
      </c>
      <c r="D671" s="51" t="s">
        <v>84</v>
      </c>
      <c r="E671" s="112">
        <v>9.52</v>
      </c>
      <c r="F671" s="4"/>
      <c r="G671" s="59">
        <f t="shared" si="16"/>
        <v>0</v>
      </c>
      <c r="K671" s="93"/>
    </row>
    <row r="672" spans="2:11" s="38" customFormat="1" ht="100.5" customHeight="1" outlineLevel="1">
      <c r="B672" s="71" t="s">
        <v>753</v>
      </c>
      <c r="C672" s="132" t="s">
        <v>357</v>
      </c>
      <c r="D672" s="51" t="s">
        <v>84</v>
      </c>
      <c r="E672" s="112">
        <v>5.5</v>
      </c>
      <c r="F672" s="4"/>
      <c r="G672" s="59">
        <f t="shared" si="16"/>
        <v>0</v>
      </c>
      <c r="K672" s="93"/>
    </row>
    <row r="673" spans="2:11" s="38" customFormat="1" ht="96.75" customHeight="1" outlineLevel="1">
      <c r="B673" s="71" t="s">
        <v>754</v>
      </c>
      <c r="C673" s="132" t="s">
        <v>121</v>
      </c>
      <c r="D673" s="51" t="s">
        <v>84</v>
      </c>
      <c r="E673" s="112">
        <v>11</v>
      </c>
      <c r="F673" s="4"/>
      <c r="G673" s="59">
        <f t="shared" si="16"/>
        <v>0</v>
      </c>
      <c r="K673" s="93"/>
    </row>
    <row r="674" spans="2:11" s="38" customFormat="1" ht="61.5" customHeight="1" outlineLevel="1">
      <c r="B674" s="71" t="s">
        <v>755</v>
      </c>
      <c r="C674" s="132" t="s">
        <v>95</v>
      </c>
      <c r="D674" s="51" t="s">
        <v>75</v>
      </c>
      <c r="E674" s="112">
        <v>1.38</v>
      </c>
      <c r="F674" s="4"/>
      <c r="G674" s="59">
        <f t="shared" si="16"/>
        <v>0</v>
      </c>
      <c r="K674" s="93"/>
    </row>
    <row r="675" spans="2:11" s="38" customFormat="1" outlineLevel="1">
      <c r="B675" s="71"/>
      <c r="C675" s="50"/>
      <c r="D675" s="51"/>
      <c r="E675" s="112"/>
      <c r="F675" s="4"/>
      <c r="G675" s="59">
        <f t="shared" si="16"/>
        <v>0</v>
      </c>
      <c r="K675" s="93"/>
    </row>
    <row r="676" spans="2:11" s="38" customFormat="1">
      <c r="B676" s="71" t="s">
        <v>756</v>
      </c>
      <c r="C676" s="55" t="s">
        <v>123</v>
      </c>
      <c r="D676" s="56"/>
      <c r="E676" s="124">
        <v>0</v>
      </c>
      <c r="F676" s="4"/>
      <c r="G676" s="59">
        <f t="shared" si="16"/>
        <v>0</v>
      </c>
      <c r="K676" s="93"/>
    </row>
    <row r="677" spans="2:11" s="38" customFormat="1" ht="146.25" customHeight="1" outlineLevel="1">
      <c r="B677" s="71" t="s">
        <v>757</v>
      </c>
      <c r="C677" s="132" t="s">
        <v>361</v>
      </c>
      <c r="D677" s="51" t="s">
        <v>75</v>
      </c>
      <c r="E677" s="112">
        <v>2.69</v>
      </c>
      <c r="F677" s="4"/>
      <c r="G677" s="59">
        <f t="shared" si="16"/>
        <v>0</v>
      </c>
      <c r="K677" s="93"/>
    </row>
    <row r="678" spans="2:11" s="38" customFormat="1" ht="193.5" customHeight="1" outlineLevel="1">
      <c r="B678" s="71" t="s">
        <v>758</v>
      </c>
      <c r="C678" s="132" t="s">
        <v>363</v>
      </c>
      <c r="D678" s="51" t="s">
        <v>75</v>
      </c>
      <c r="E678" s="112">
        <v>4.7</v>
      </c>
      <c r="F678" s="4"/>
      <c r="G678" s="59">
        <f t="shared" si="16"/>
        <v>0</v>
      </c>
      <c r="K678" s="93"/>
    </row>
    <row r="679" spans="2:11" s="38" customFormat="1" ht="137.25" customHeight="1" outlineLevel="1">
      <c r="B679" s="71" t="s">
        <v>759</v>
      </c>
      <c r="C679" s="132" t="s">
        <v>365</v>
      </c>
      <c r="D679" s="51" t="s">
        <v>84</v>
      </c>
      <c r="E679" s="112">
        <v>3.06</v>
      </c>
      <c r="F679" s="4"/>
      <c r="G679" s="59">
        <f t="shared" si="16"/>
        <v>0</v>
      </c>
      <c r="K679" s="93"/>
    </row>
    <row r="680" spans="2:11" s="38" customFormat="1" ht="99.75" customHeight="1" outlineLevel="1">
      <c r="B680" s="71" t="s">
        <v>760</v>
      </c>
      <c r="C680" s="132" t="s">
        <v>131</v>
      </c>
      <c r="D680" s="51" t="s">
        <v>75</v>
      </c>
      <c r="E680" s="112">
        <v>10.6</v>
      </c>
      <c r="F680" s="4"/>
      <c r="G680" s="59">
        <f t="shared" si="16"/>
        <v>0</v>
      </c>
      <c r="K680" s="93"/>
    </row>
    <row r="681" spans="2:11" s="38" customFormat="1" ht="107.25" customHeight="1" outlineLevel="1">
      <c r="B681" s="71" t="s">
        <v>761</v>
      </c>
      <c r="C681" s="132" t="s">
        <v>368</v>
      </c>
      <c r="D681" s="51" t="s">
        <v>75</v>
      </c>
      <c r="E681" s="112">
        <v>2.69</v>
      </c>
      <c r="F681" s="4"/>
      <c r="G681" s="59">
        <f t="shared" si="16"/>
        <v>0</v>
      </c>
      <c r="K681" s="93"/>
    </row>
    <row r="682" spans="2:11" s="38" customFormat="1" ht="89.25" outlineLevel="1">
      <c r="B682" s="71" t="s">
        <v>762</v>
      </c>
      <c r="C682" s="132" t="s">
        <v>370</v>
      </c>
      <c r="D682" s="51" t="s">
        <v>75</v>
      </c>
      <c r="E682" s="112">
        <v>4.7</v>
      </c>
      <c r="F682" s="4"/>
      <c r="G682" s="59">
        <f t="shared" si="16"/>
        <v>0</v>
      </c>
      <c r="K682" s="93"/>
    </row>
    <row r="683" spans="2:11" s="38" customFormat="1" ht="72" customHeight="1" outlineLevel="1">
      <c r="B683" s="71" t="s">
        <v>763</v>
      </c>
      <c r="C683" s="132" t="s">
        <v>137</v>
      </c>
      <c r="D683" s="51" t="s">
        <v>75</v>
      </c>
      <c r="E683" s="112">
        <v>9.6199999999999992</v>
      </c>
      <c r="F683" s="4"/>
      <c r="G683" s="59">
        <f t="shared" si="16"/>
        <v>0</v>
      </c>
      <c r="K683" s="93"/>
    </row>
    <row r="684" spans="2:11" s="38" customFormat="1" ht="62.25" customHeight="1" outlineLevel="1">
      <c r="B684" s="71" t="s">
        <v>764</v>
      </c>
      <c r="C684" s="132" t="s">
        <v>139</v>
      </c>
      <c r="D684" s="51" t="s">
        <v>140</v>
      </c>
      <c r="E684" s="112">
        <v>1</v>
      </c>
      <c r="F684" s="4"/>
      <c r="G684" s="59">
        <f t="shared" si="16"/>
        <v>0</v>
      </c>
      <c r="K684" s="93"/>
    </row>
    <row r="685" spans="2:11" s="38" customFormat="1" ht="86.25" customHeight="1" outlineLevel="1">
      <c r="B685" s="71" t="s">
        <v>765</v>
      </c>
      <c r="C685" s="132" t="s">
        <v>142</v>
      </c>
      <c r="D685" s="51" t="s">
        <v>84</v>
      </c>
      <c r="E685" s="112">
        <v>3.54</v>
      </c>
      <c r="F685" s="4"/>
      <c r="G685" s="59">
        <f t="shared" si="16"/>
        <v>0</v>
      </c>
      <c r="K685" s="93"/>
    </row>
    <row r="686" spans="2:11" s="38" customFormat="1" ht="95.25" customHeight="1" outlineLevel="1">
      <c r="B686" s="71" t="s">
        <v>766</v>
      </c>
      <c r="C686" s="132" t="s">
        <v>144</v>
      </c>
      <c r="D686" s="51" t="s">
        <v>84</v>
      </c>
      <c r="E686" s="112">
        <v>11.82</v>
      </c>
      <c r="F686" s="4"/>
      <c r="G686" s="59">
        <f t="shared" si="16"/>
        <v>0</v>
      </c>
      <c r="K686" s="93"/>
    </row>
    <row r="687" spans="2:11" s="38" customFormat="1" outlineLevel="1">
      <c r="B687" s="71"/>
      <c r="C687" s="50"/>
      <c r="D687" s="51"/>
      <c r="E687" s="112"/>
      <c r="F687" s="4"/>
      <c r="G687" s="59">
        <f t="shared" si="16"/>
        <v>0</v>
      </c>
      <c r="K687" s="93"/>
    </row>
    <row r="688" spans="2:11" s="38" customFormat="1">
      <c r="B688" s="71" t="s">
        <v>767</v>
      </c>
      <c r="C688" s="55" t="s">
        <v>146</v>
      </c>
      <c r="D688" s="56"/>
      <c r="E688" s="124">
        <v>0</v>
      </c>
      <c r="F688" s="4"/>
      <c r="G688" s="59">
        <f t="shared" si="16"/>
        <v>0</v>
      </c>
      <c r="K688" s="93"/>
    </row>
    <row r="689" spans="2:11" s="38" customFormat="1" ht="171.75" customHeight="1" outlineLevel="1">
      <c r="B689" s="71" t="s">
        <v>768</v>
      </c>
      <c r="C689" s="130" t="s">
        <v>2637</v>
      </c>
      <c r="D689" s="51" t="s">
        <v>140</v>
      </c>
      <c r="E689" s="112">
        <v>1</v>
      </c>
      <c r="F689" s="4"/>
      <c r="G689" s="59">
        <f t="shared" si="16"/>
        <v>0</v>
      </c>
      <c r="K689" s="93"/>
    </row>
    <row r="690" spans="2:11" s="38" customFormat="1" ht="186.75" customHeight="1" outlineLevel="1">
      <c r="B690" s="71" t="s">
        <v>769</v>
      </c>
      <c r="C690" s="130" t="s">
        <v>149</v>
      </c>
      <c r="D690" s="51" t="s">
        <v>140</v>
      </c>
      <c r="E690" s="112">
        <v>1</v>
      </c>
      <c r="F690" s="4"/>
      <c r="G690" s="59">
        <f t="shared" si="16"/>
        <v>0</v>
      </c>
      <c r="K690" s="93"/>
    </row>
    <row r="691" spans="2:11" s="38" customFormat="1" outlineLevel="1">
      <c r="B691" s="71"/>
      <c r="C691" s="50"/>
      <c r="D691" s="51"/>
      <c r="E691" s="112"/>
      <c r="F691" s="4"/>
      <c r="G691" s="59">
        <f t="shared" si="16"/>
        <v>0</v>
      </c>
      <c r="K691" s="93"/>
    </row>
    <row r="692" spans="2:11" s="38" customFormat="1">
      <c r="B692" s="71" t="s">
        <v>770</v>
      </c>
      <c r="C692" s="55" t="s">
        <v>151</v>
      </c>
      <c r="D692" s="56"/>
      <c r="E692" s="124">
        <v>0</v>
      </c>
      <c r="F692" s="4"/>
      <c r="G692" s="59">
        <f t="shared" si="16"/>
        <v>0</v>
      </c>
      <c r="K692" s="93"/>
    </row>
    <row r="693" spans="2:11" s="38" customFormat="1" ht="38.25" outlineLevel="1">
      <c r="B693" s="71" t="s">
        <v>771</v>
      </c>
      <c r="C693" s="132" t="s">
        <v>153</v>
      </c>
      <c r="D693" s="51" t="s">
        <v>140</v>
      </c>
      <c r="E693" s="112">
        <v>1</v>
      </c>
      <c r="F693" s="13"/>
      <c r="G693" s="59">
        <f t="shared" si="16"/>
        <v>0</v>
      </c>
      <c r="K693" s="93"/>
    </row>
    <row r="694" spans="2:11" s="38" customFormat="1" ht="51" outlineLevel="1">
      <c r="B694" s="71" t="s">
        <v>772</v>
      </c>
      <c r="C694" s="132" t="s">
        <v>155</v>
      </c>
      <c r="D694" s="51" t="s">
        <v>140</v>
      </c>
      <c r="E694" s="112">
        <v>1</v>
      </c>
      <c r="F694" s="13"/>
      <c r="G694" s="59">
        <f t="shared" si="16"/>
        <v>0</v>
      </c>
      <c r="K694" s="93"/>
    </row>
    <row r="695" spans="2:11" s="38" customFormat="1" outlineLevel="1">
      <c r="B695" s="71"/>
      <c r="C695" s="50"/>
      <c r="D695" s="51"/>
      <c r="E695" s="112"/>
      <c r="F695" s="13"/>
      <c r="G695" s="59">
        <f t="shared" si="16"/>
        <v>0</v>
      </c>
      <c r="K695" s="93"/>
    </row>
    <row r="696" spans="2:11" s="38" customFormat="1">
      <c r="B696" s="71" t="s">
        <v>773</v>
      </c>
      <c r="C696" s="55" t="s">
        <v>157</v>
      </c>
      <c r="D696" s="56"/>
      <c r="E696" s="124">
        <v>0</v>
      </c>
      <c r="F696" s="4">
        <v>0</v>
      </c>
      <c r="G696" s="59">
        <f t="shared" si="16"/>
        <v>0</v>
      </c>
      <c r="K696" s="93"/>
    </row>
    <row r="697" spans="2:11" s="38" customFormat="1" ht="51" outlineLevel="1">
      <c r="B697" s="98"/>
      <c r="C697" s="132" t="s">
        <v>158</v>
      </c>
      <c r="D697" s="51"/>
      <c r="E697" s="112"/>
      <c r="F697" s="4"/>
      <c r="G697" s="59">
        <f t="shared" si="16"/>
        <v>0</v>
      </c>
      <c r="K697" s="93"/>
    </row>
    <row r="698" spans="2:11" s="38" customFormat="1" ht="51" outlineLevel="1">
      <c r="B698" s="71" t="s">
        <v>774</v>
      </c>
      <c r="C698" s="132" t="s">
        <v>160</v>
      </c>
      <c r="D698" s="51" t="s">
        <v>140</v>
      </c>
      <c r="E698" s="112">
        <v>1</v>
      </c>
      <c r="F698" s="4"/>
      <c r="G698" s="59">
        <f t="shared" si="16"/>
        <v>0</v>
      </c>
      <c r="K698" s="100"/>
    </row>
    <row r="699" spans="2:11" s="38" customFormat="1" ht="38.25" outlineLevel="1">
      <c r="B699" s="71" t="s">
        <v>775</v>
      </c>
      <c r="C699" s="132" t="s">
        <v>162</v>
      </c>
      <c r="D699" s="51" t="s">
        <v>140</v>
      </c>
      <c r="E699" s="112">
        <v>1</v>
      </c>
      <c r="F699" s="4"/>
      <c r="G699" s="59">
        <f t="shared" si="16"/>
        <v>0</v>
      </c>
      <c r="K699" s="100"/>
    </row>
    <row r="700" spans="2:11" s="38" customFormat="1" ht="51" outlineLevel="1">
      <c r="B700" s="71" t="s">
        <v>776</v>
      </c>
      <c r="C700" s="132" t="s">
        <v>164</v>
      </c>
      <c r="D700" s="51" t="s">
        <v>140</v>
      </c>
      <c r="E700" s="112">
        <v>1</v>
      </c>
      <c r="F700" s="4"/>
      <c r="G700" s="59">
        <f t="shared" si="16"/>
        <v>0</v>
      </c>
      <c r="K700" s="100"/>
    </row>
    <row r="701" spans="2:11" s="38" customFormat="1" ht="147" customHeight="1" outlineLevel="1">
      <c r="B701" s="71" t="s">
        <v>777</v>
      </c>
      <c r="C701" s="132" t="s">
        <v>544</v>
      </c>
      <c r="D701" s="51" t="s">
        <v>140</v>
      </c>
      <c r="E701" s="112">
        <v>1</v>
      </c>
      <c r="F701" s="4"/>
      <c r="G701" s="59">
        <f t="shared" si="16"/>
        <v>0</v>
      </c>
      <c r="K701" s="100"/>
    </row>
    <row r="702" spans="2:11" s="38" customFormat="1" ht="123" customHeight="1" outlineLevel="1">
      <c r="B702" s="71" t="s">
        <v>778</v>
      </c>
      <c r="C702" s="132" t="s">
        <v>546</v>
      </c>
      <c r="D702" s="51" t="s">
        <v>140</v>
      </c>
      <c r="E702" s="112">
        <v>1</v>
      </c>
      <c r="F702" s="4"/>
      <c r="G702" s="59">
        <f t="shared" si="16"/>
        <v>0</v>
      </c>
      <c r="K702" s="100"/>
    </row>
    <row r="703" spans="2:11" s="38" customFormat="1" ht="66" customHeight="1" outlineLevel="1">
      <c r="B703" s="71" t="s">
        <v>779</v>
      </c>
      <c r="C703" s="132" t="s">
        <v>170</v>
      </c>
      <c r="D703" s="51" t="s">
        <v>140</v>
      </c>
      <c r="E703" s="112">
        <v>1</v>
      </c>
      <c r="F703" s="4"/>
      <c r="G703" s="59">
        <f t="shared" si="16"/>
        <v>0</v>
      </c>
      <c r="K703" s="100"/>
    </row>
    <row r="704" spans="2:11" s="38" customFormat="1" ht="70.5" customHeight="1" outlineLevel="1">
      <c r="B704" s="71" t="s">
        <v>780</v>
      </c>
      <c r="C704" s="132" t="s">
        <v>172</v>
      </c>
      <c r="D704" s="51" t="s">
        <v>140</v>
      </c>
      <c r="E704" s="112">
        <v>1</v>
      </c>
      <c r="F704" s="4"/>
      <c r="G704" s="59">
        <f t="shared" si="16"/>
        <v>0</v>
      </c>
      <c r="K704" s="100"/>
    </row>
    <row r="705" spans="2:11" s="38" customFormat="1" ht="48.75" customHeight="1" outlineLevel="1">
      <c r="B705" s="71" t="s">
        <v>781</v>
      </c>
      <c r="C705" s="132" t="s">
        <v>174</v>
      </c>
      <c r="D705" s="51" t="s">
        <v>140</v>
      </c>
      <c r="E705" s="112">
        <v>1</v>
      </c>
      <c r="F705" s="4"/>
      <c r="G705" s="59">
        <f t="shared" si="16"/>
        <v>0</v>
      </c>
      <c r="K705" s="100"/>
    </row>
    <row r="706" spans="2:11" s="38" customFormat="1" ht="52.5" customHeight="1" outlineLevel="1">
      <c r="B706" s="71" t="s">
        <v>782</v>
      </c>
      <c r="C706" s="132" t="s">
        <v>2638</v>
      </c>
      <c r="D706" s="51" t="s">
        <v>140</v>
      </c>
      <c r="E706" s="112">
        <v>1</v>
      </c>
      <c r="F706" s="4"/>
      <c r="G706" s="59">
        <f t="shared" ref="G706:G721" si="17">E706*F706</f>
        <v>0</v>
      </c>
      <c r="K706" s="100"/>
    </row>
    <row r="707" spans="2:11" s="38" customFormat="1" ht="52.5" customHeight="1" outlineLevel="1">
      <c r="B707" s="71" t="s">
        <v>783</v>
      </c>
      <c r="C707" s="132" t="s">
        <v>177</v>
      </c>
      <c r="D707" s="51" t="s">
        <v>140</v>
      </c>
      <c r="E707" s="112">
        <v>1</v>
      </c>
      <c r="F707" s="4"/>
      <c r="G707" s="59">
        <f t="shared" si="17"/>
        <v>0</v>
      </c>
      <c r="K707" s="100"/>
    </row>
    <row r="708" spans="2:11" s="38" customFormat="1" ht="75" customHeight="1" outlineLevel="1">
      <c r="B708" s="71" t="s">
        <v>784</v>
      </c>
      <c r="C708" s="132" t="s">
        <v>179</v>
      </c>
      <c r="D708" s="51" t="s">
        <v>140</v>
      </c>
      <c r="E708" s="112">
        <v>1</v>
      </c>
      <c r="F708" s="4"/>
      <c r="G708" s="59">
        <f t="shared" si="17"/>
        <v>0</v>
      </c>
      <c r="K708" s="100"/>
    </row>
    <row r="709" spans="2:11" s="38" customFormat="1" ht="63.75" customHeight="1" outlineLevel="1">
      <c r="B709" s="71" t="s">
        <v>785</v>
      </c>
      <c r="C709" s="132" t="s">
        <v>181</v>
      </c>
      <c r="D709" s="51" t="s">
        <v>140</v>
      </c>
      <c r="E709" s="112">
        <v>1</v>
      </c>
      <c r="F709" s="4"/>
      <c r="G709" s="59">
        <f t="shared" si="17"/>
        <v>0</v>
      </c>
      <c r="K709" s="100"/>
    </row>
    <row r="710" spans="2:11" s="38" customFormat="1" ht="25.5" outlineLevel="1">
      <c r="B710" s="71" t="s">
        <v>786</v>
      </c>
      <c r="C710" s="132" t="s">
        <v>183</v>
      </c>
      <c r="D710" s="51" t="s">
        <v>140</v>
      </c>
      <c r="E710" s="112">
        <v>1</v>
      </c>
      <c r="F710" s="4"/>
      <c r="G710" s="59">
        <f t="shared" si="17"/>
        <v>0</v>
      </c>
      <c r="K710" s="100"/>
    </row>
    <row r="711" spans="2:11" s="38" customFormat="1" ht="52.5" customHeight="1" outlineLevel="1">
      <c r="B711" s="71" t="s">
        <v>787</v>
      </c>
      <c r="C711" s="132" t="s">
        <v>185</v>
      </c>
      <c r="D711" s="51" t="s">
        <v>140</v>
      </c>
      <c r="E711" s="112">
        <v>2</v>
      </c>
      <c r="F711" s="4">
        <v>0</v>
      </c>
      <c r="G711" s="59">
        <f t="shared" si="17"/>
        <v>0</v>
      </c>
      <c r="K711" s="100"/>
    </row>
    <row r="712" spans="2:11" s="38" customFormat="1" ht="50.25" customHeight="1" outlineLevel="1">
      <c r="B712" s="71" t="s">
        <v>788</v>
      </c>
      <c r="C712" s="132" t="s">
        <v>187</v>
      </c>
      <c r="D712" s="51" t="s">
        <v>140</v>
      </c>
      <c r="E712" s="112">
        <v>1</v>
      </c>
      <c r="F712" s="4">
        <v>0</v>
      </c>
      <c r="G712" s="59">
        <f t="shared" si="17"/>
        <v>0</v>
      </c>
      <c r="K712" s="100"/>
    </row>
    <row r="713" spans="2:11" s="38" customFormat="1" ht="52.5" customHeight="1" outlineLevel="1">
      <c r="B713" s="71" t="s">
        <v>789</v>
      </c>
      <c r="C713" s="132" t="s">
        <v>189</v>
      </c>
      <c r="D713" s="51" t="s">
        <v>140</v>
      </c>
      <c r="E713" s="112">
        <v>2</v>
      </c>
      <c r="F713" s="4">
        <v>0</v>
      </c>
      <c r="G713" s="59">
        <f t="shared" si="17"/>
        <v>0</v>
      </c>
      <c r="K713" s="100"/>
    </row>
    <row r="714" spans="2:11" s="38" customFormat="1" ht="33.75" customHeight="1" outlineLevel="1">
      <c r="B714" s="71" t="s">
        <v>790</v>
      </c>
      <c r="C714" s="132" t="s">
        <v>191</v>
      </c>
      <c r="D714" s="51" t="s">
        <v>140</v>
      </c>
      <c r="E714" s="112">
        <v>1</v>
      </c>
      <c r="F714" s="4">
        <v>0</v>
      </c>
      <c r="G714" s="59">
        <f t="shared" si="17"/>
        <v>0</v>
      </c>
      <c r="K714" s="100"/>
    </row>
    <row r="715" spans="2:11" s="38" customFormat="1" ht="46.5" customHeight="1" outlineLevel="1">
      <c r="B715" s="71" t="s">
        <v>791</v>
      </c>
      <c r="C715" s="132" t="s">
        <v>193</v>
      </c>
      <c r="D715" s="51" t="s">
        <v>140</v>
      </c>
      <c r="E715" s="112">
        <v>1</v>
      </c>
      <c r="F715" s="4"/>
      <c r="G715" s="59">
        <f t="shared" si="17"/>
        <v>0</v>
      </c>
      <c r="K715" s="100"/>
    </row>
    <row r="716" spans="2:11" s="38" customFormat="1" ht="213.75" customHeight="1" outlineLevel="1">
      <c r="B716" s="71" t="s">
        <v>792</v>
      </c>
      <c r="C716" s="132" t="s">
        <v>195</v>
      </c>
      <c r="D716" s="51" t="s">
        <v>140</v>
      </c>
      <c r="E716" s="112">
        <v>1</v>
      </c>
      <c r="F716" s="4">
        <v>0</v>
      </c>
      <c r="G716" s="59">
        <f t="shared" si="17"/>
        <v>0</v>
      </c>
      <c r="K716" s="100"/>
    </row>
    <row r="717" spans="2:11" s="38" customFormat="1" ht="78" customHeight="1" outlineLevel="1">
      <c r="B717" s="71" t="s">
        <v>793</v>
      </c>
      <c r="C717" s="132" t="s">
        <v>197</v>
      </c>
      <c r="D717" s="51" t="s">
        <v>140</v>
      </c>
      <c r="E717" s="112">
        <v>1</v>
      </c>
      <c r="F717" s="4"/>
      <c r="G717" s="59">
        <f t="shared" si="17"/>
        <v>0</v>
      </c>
      <c r="K717" s="100"/>
    </row>
    <row r="718" spans="2:11" s="38" customFormat="1" ht="111" customHeight="1" outlineLevel="1">
      <c r="B718" s="71" t="s">
        <v>794</v>
      </c>
      <c r="C718" s="132" t="s">
        <v>2629</v>
      </c>
      <c r="D718" s="51" t="s">
        <v>140</v>
      </c>
      <c r="E718" s="112">
        <v>1</v>
      </c>
      <c r="F718" s="4"/>
      <c r="G718" s="59">
        <f t="shared" si="17"/>
        <v>0</v>
      </c>
      <c r="K718" s="93"/>
    </row>
    <row r="719" spans="2:11" s="38" customFormat="1" ht="105" customHeight="1" outlineLevel="1">
      <c r="B719" s="71" t="s">
        <v>795</v>
      </c>
      <c r="C719" s="132" t="s">
        <v>796</v>
      </c>
      <c r="D719" s="51" t="s">
        <v>140</v>
      </c>
      <c r="E719" s="112">
        <v>1</v>
      </c>
      <c r="F719" s="4"/>
      <c r="G719" s="59">
        <f t="shared" si="17"/>
        <v>0</v>
      </c>
      <c r="K719" s="93"/>
    </row>
    <row r="720" spans="2:11" s="38" customFormat="1" ht="109.15" customHeight="1" outlineLevel="1">
      <c r="B720" s="71" t="s">
        <v>797</v>
      </c>
      <c r="C720" s="50" t="s">
        <v>565</v>
      </c>
      <c r="D720" s="51" t="s">
        <v>140</v>
      </c>
      <c r="E720" s="112">
        <v>1</v>
      </c>
      <c r="F720" s="4"/>
      <c r="G720" s="59">
        <f t="shared" si="17"/>
        <v>0</v>
      </c>
      <c r="K720" s="93"/>
    </row>
    <row r="721" spans="2:11" s="38" customFormat="1">
      <c r="B721" s="71" t="s">
        <v>798</v>
      </c>
      <c r="C721" s="55" t="s">
        <v>202</v>
      </c>
      <c r="D721" s="56"/>
      <c r="E721" s="124">
        <v>0</v>
      </c>
      <c r="F721" s="4"/>
      <c r="G721" s="59">
        <f t="shared" si="17"/>
        <v>0</v>
      </c>
      <c r="K721" s="100"/>
    </row>
    <row r="722" spans="2:11" s="38" customFormat="1" ht="76.5" outlineLevel="1">
      <c r="B722" s="71" t="s">
        <v>799</v>
      </c>
      <c r="C722" s="50" t="s">
        <v>800</v>
      </c>
      <c r="D722" s="51" t="s">
        <v>84</v>
      </c>
      <c r="E722" s="112">
        <v>3.2</v>
      </c>
      <c r="F722" s="4"/>
      <c r="G722" s="59">
        <f>E722*F722</f>
        <v>0</v>
      </c>
      <c r="K722" s="100"/>
    </row>
    <row r="723" spans="2:11" s="38" customFormat="1">
      <c r="B723" s="71"/>
      <c r="C723" s="55"/>
      <c r="D723" s="56"/>
      <c r="E723" s="124"/>
      <c r="F723" s="4"/>
      <c r="G723" s="4"/>
      <c r="K723" s="100"/>
    </row>
    <row r="724" spans="2:11" s="38" customFormat="1">
      <c r="B724" s="72" t="s">
        <v>801</v>
      </c>
      <c r="C724" s="52"/>
      <c r="D724" s="15"/>
      <c r="E724" s="122"/>
      <c r="F724" s="54"/>
      <c r="G724" s="58">
        <f>SUM(G613:G723)</f>
        <v>0</v>
      </c>
      <c r="K724" s="93"/>
    </row>
    <row r="725" spans="2:11" s="38" customFormat="1" outlineLevel="1">
      <c r="B725" s="71"/>
      <c r="C725" s="50"/>
      <c r="D725" s="51"/>
      <c r="E725" s="112"/>
      <c r="F725" s="4"/>
      <c r="G725" s="59"/>
      <c r="K725" s="100"/>
    </row>
    <row r="726" spans="2:11" s="38" customFormat="1">
      <c r="B726" s="114" t="s">
        <v>802</v>
      </c>
      <c r="C726" s="52"/>
      <c r="D726" s="15"/>
      <c r="E726" s="122"/>
      <c r="F726" s="54"/>
      <c r="G726" s="58"/>
      <c r="K726" s="93"/>
    </row>
    <row r="727" spans="2:11" s="38" customFormat="1" ht="38.25">
      <c r="B727" s="116"/>
      <c r="C727" s="55" t="s">
        <v>207</v>
      </c>
      <c r="D727" s="11" t="s">
        <v>140</v>
      </c>
      <c r="E727" s="112">
        <v>4</v>
      </c>
      <c r="F727" s="13"/>
      <c r="G727" s="113">
        <f>E727*G724</f>
        <v>0</v>
      </c>
      <c r="K727" s="93"/>
    </row>
    <row r="728" spans="2:11" s="38" customFormat="1">
      <c r="B728" s="116"/>
      <c r="C728" s="55"/>
      <c r="D728" s="11"/>
      <c r="E728" s="121"/>
      <c r="F728" s="13"/>
      <c r="G728" s="113"/>
      <c r="K728" s="93"/>
    </row>
    <row r="729" spans="2:11" s="38" customFormat="1">
      <c r="B729" s="72">
        <v>3.9</v>
      </c>
      <c r="C729" s="70" t="s">
        <v>803</v>
      </c>
      <c r="D729" s="49"/>
      <c r="E729" s="123">
        <v>0</v>
      </c>
      <c r="F729" s="54">
        <v>0</v>
      </c>
      <c r="G729" s="58"/>
      <c r="K729" s="93"/>
    </row>
    <row r="730" spans="2:11" s="38" customFormat="1">
      <c r="B730" s="116"/>
      <c r="D730" s="56"/>
      <c r="E730" s="124"/>
      <c r="F730" s="13"/>
      <c r="G730" s="113"/>
      <c r="K730" s="93"/>
    </row>
    <row r="731" spans="2:11" s="38" customFormat="1" ht="55.5" customHeight="1">
      <c r="B731" s="116"/>
      <c r="C731" s="50" t="s">
        <v>60</v>
      </c>
      <c r="D731" s="56"/>
      <c r="E731" s="124"/>
      <c r="F731" s="13"/>
      <c r="G731" s="59">
        <f t="shared" ref="G731:G794" si="18">E731*F731</f>
        <v>0</v>
      </c>
      <c r="K731" s="93"/>
    </row>
    <row r="732" spans="2:11" s="38" customFormat="1">
      <c r="B732" s="116"/>
      <c r="C732" s="116"/>
      <c r="D732" s="56"/>
      <c r="E732" s="124"/>
      <c r="F732" s="13"/>
      <c r="G732" s="59">
        <f t="shared" si="18"/>
        <v>0</v>
      </c>
      <c r="K732" s="93"/>
    </row>
    <row r="733" spans="2:11" s="38" customFormat="1">
      <c r="B733" s="71" t="s">
        <v>804</v>
      </c>
      <c r="C733" s="55" t="s">
        <v>62</v>
      </c>
      <c r="D733" s="56"/>
      <c r="E733" s="124">
        <v>0</v>
      </c>
      <c r="F733" s="13">
        <v>0</v>
      </c>
      <c r="G733" s="59">
        <f t="shared" si="18"/>
        <v>0</v>
      </c>
      <c r="K733" s="93"/>
    </row>
    <row r="734" spans="2:11" s="38" customFormat="1" ht="200.25" customHeight="1" outlineLevel="1">
      <c r="B734" s="71" t="s">
        <v>805</v>
      </c>
      <c r="C734" s="132" t="s">
        <v>64</v>
      </c>
      <c r="D734" s="51" t="s">
        <v>38</v>
      </c>
      <c r="E734" s="112">
        <v>1</v>
      </c>
      <c r="F734" s="4"/>
      <c r="G734" s="59">
        <f t="shared" si="18"/>
        <v>0</v>
      </c>
      <c r="K734" s="93"/>
    </row>
    <row r="735" spans="2:11" s="38" customFormat="1" outlineLevel="1">
      <c r="B735" s="71"/>
      <c r="C735" s="50"/>
      <c r="D735" s="51"/>
      <c r="E735" s="112"/>
      <c r="F735" s="4"/>
      <c r="G735" s="59">
        <f t="shared" si="18"/>
        <v>0</v>
      </c>
      <c r="K735" s="93"/>
    </row>
    <row r="736" spans="2:11" s="38" customFormat="1">
      <c r="B736" s="71" t="s">
        <v>806</v>
      </c>
      <c r="C736" s="55" t="s">
        <v>66</v>
      </c>
      <c r="D736" s="56"/>
      <c r="E736" s="124">
        <v>0</v>
      </c>
      <c r="F736" s="13"/>
      <c r="G736" s="59">
        <f t="shared" si="18"/>
        <v>0</v>
      </c>
      <c r="K736" s="93"/>
    </row>
    <row r="737" spans="2:11" s="38" customFormat="1" ht="47.25" customHeight="1" outlineLevel="1">
      <c r="B737" s="71" t="s">
        <v>807</v>
      </c>
      <c r="C737" s="132" t="s">
        <v>68</v>
      </c>
      <c r="D737" s="51" t="s">
        <v>38</v>
      </c>
      <c r="E737" s="112">
        <v>1</v>
      </c>
      <c r="F737" s="4"/>
      <c r="G737" s="59">
        <f t="shared" si="18"/>
        <v>0</v>
      </c>
      <c r="K737" s="100"/>
    </row>
    <row r="738" spans="2:11" s="38" customFormat="1" ht="78.75" customHeight="1" outlineLevel="1">
      <c r="B738" s="71" t="s">
        <v>808</v>
      </c>
      <c r="C738" s="132" t="s">
        <v>70</v>
      </c>
      <c r="D738" s="51" t="s">
        <v>38</v>
      </c>
      <c r="E738" s="112">
        <v>1</v>
      </c>
      <c r="F738" s="4"/>
      <c r="G738" s="59">
        <f t="shared" si="18"/>
        <v>0</v>
      </c>
      <c r="K738" s="100"/>
    </row>
    <row r="739" spans="2:11" s="38" customFormat="1">
      <c r="B739" s="71" t="s">
        <v>809</v>
      </c>
      <c r="C739" s="55" t="s">
        <v>72</v>
      </c>
      <c r="D739" s="56"/>
      <c r="E739" s="124">
        <v>0</v>
      </c>
      <c r="F739" s="4">
        <v>0</v>
      </c>
      <c r="G739" s="59">
        <f t="shared" si="18"/>
        <v>0</v>
      </c>
      <c r="K739" s="93"/>
    </row>
    <row r="740" spans="2:11" s="38" customFormat="1" ht="118.5" customHeight="1" outlineLevel="1">
      <c r="B740" s="71" t="s">
        <v>810</v>
      </c>
      <c r="C740" s="132" t="s">
        <v>324</v>
      </c>
      <c r="D740" s="51" t="s">
        <v>75</v>
      </c>
      <c r="E740" s="112">
        <v>29.49</v>
      </c>
      <c r="F740" s="4"/>
      <c r="G740" s="59">
        <f t="shared" si="18"/>
        <v>0</v>
      </c>
      <c r="K740" s="93"/>
    </row>
    <row r="741" spans="2:11" s="38" customFormat="1" ht="84.75" customHeight="1" outlineLevel="1">
      <c r="B741" s="71" t="s">
        <v>811</v>
      </c>
      <c r="C741" s="132" t="s">
        <v>77</v>
      </c>
      <c r="D741" s="51" t="s">
        <v>75</v>
      </c>
      <c r="E741" s="112">
        <v>13.99</v>
      </c>
      <c r="F741" s="4"/>
      <c r="G741" s="59">
        <f t="shared" si="18"/>
        <v>0</v>
      </c>
      <c r="K741" s="93"/>
    </row>
    <row r="742" spans="2:11" s="38" customFormat="1" ht="73.5" customHeight="1" outlineLevel="1">
      <c r="B742" s="71" t="s">
        <v>812</v>
      </c>
      <c r="C742" s="132" t="s">
        <v>327</v>
      </c>
      <c r="D742" s="51" t="s">
        <v>75</v>
      </c>
      <c r="E742" s="112">
        <v>33.99</v>
      </c>
      <c r="F742" s="57"/>
      <c r="G742" s="59">
        <f t="shared" si="18"/>
        <v>0</v>
      </c>
      <c r="K742" s="93"/>
    </row>
    <row r="743" spans="2:11" s="38" customFormat="1" ht="105" customHeight="1" outlineLevel="1">
      <c r="B743" s="71" t="s">
        <v>813</v>
      </c>
      <c r="C743" s="132" t="s">
        <v>329</v>
      </c>
      <c r="D743" s="51" t="s">
        <v>75</v>
      </c>
      <c r="E743" s="112">
        <v>3.01</v>
      </c>
      <c r="F743" s="4"/>
      <c r="G743" s="59">
        <f t="shared" si="18"/>
        <v>0</v>
      </c>
      <c r="K743" s="93"/>
    </row>
    <row r="744" spans="2:11" s="38" customFormat="1" ht="79.5" customHeight="1" outlineLevel="1">
      <c r="B744" s="71" t="s">
        <v>814</v>
      </c>
      <c r="C744" s="132" t="s">
        <v>331</v>
      </c>
      <c r="D744" s="51" t="s">
        <v>84</v>
      </c>
      <c r="E744" s="112">
        <v>1.8</v>
      </c>
      <c r="F744" s="4"/>
      <c r="G744" s="59">
        <f t="shared" si="18"/>
        <v>0</v>
      </c>
      <c r="K744" s="93"/>
    </row>
    <row r="745" spans="2:11" s="38" customFormat="1" ht="51" customHeight="1" outlineLevel="1">
      <c r="B745" s="71" t="s">
        <v>815</v>
      </c>
      <c r="C745" s="132" t="s">
        <v>86</v>
      </c>
      <c r="D745" s="51" t="s">
        <v>84</v>
      </c>
      <c r="E745" s="112">
        <v>11.11</v>
      </c>
      <c r="F745" s="4"/>
      <c r="G745" s="59">
        <f t="shared" si="18"/>
        <v>0</v>
      </c>
      <c r="K745" s="93"/>
    </row>
    <row r="746" spans="2:11" s="38" customFormat="1" ht="44.25" customHeight="1" outlineLevel="1">
      <c r="B746" s="71" t="s">
        <v>816</v>
      </c>
      <c r="C746" s="132" t="s">
        <v>88</v>
      </c>
      <c r="D746" s="51" t="s">
        <v>84</v>
      </c>
      <c r="E746" s="112">
        <v>12.14</v>
      </c>
      <c r="F746" s="4"/>
      <c r="G746" s="59">
        <f t="shared" si="18"/>
        <v>0</v>
      </c>
      <c r="K746" s="93"/>
    </row>
    <row r="747" spans="2:11" s="38" customFormat="1" ht="114.75" outlineLevel="1">
      <c r="B747" s="71" t="s">
        <v>817</v>
      </c>
      <c r="C747" s="130" t="s">
        <v>335</v>
      </c>
      <c r="D747" s="51" t="s">
        <v>91</v>
      </c>
      <c r="E747" s="112">
        <v>1</v>
      </c>
      <c r="F747" s="4"/>
      <c r="G747" s="59">
        <f t="shared" si="18"/>
        <v>0</v>
      </c>
      <c r="K747" s="93"/>
    </row>
    <row r="748" spans="2:11" s="38" customFormat="1" outlineLevel="1">
      <c r="B748" s="71"/>
      <c r="C748" s="50"/>
      <c r="D748" s="51"/>
      <c r="E748" s="112"/>
      <c r="F748" s="4"/>
      <c r="G748" s="59">
        <f t="shared" si="18"/>
        <v>0</v>
      </c>
      <c r="K748" s="93"/>
    </row>
    <row r="749" spans="2:11" s="38" customFormat="1">
      <c r="B749" s="71" t="s">
        <v>818</v>
      </c>
      <c r="C749" s="55" t="s">
        <v>93</v>
      </c>
      <c r="D749" s="56"/>
      <c r="E749" s="124">
        <v>0</v>
      </c>
      <c r="F749" s="4">
        <v>0</v>
      </c>
      <c r="G749" s="59">
        <f t="shared" si="18"/>
        <v>0</v>
      </c>
      <c r="K749" s="93"/>
    </row>
    <row r="750" spans="2:11" s="38" customFormat="1" ht="75.75" customHeight="1" outlineLevel="1">
      <c r="B750" s="71" t="s">
        <v>819</v>
      </c>
      <c r="C750" s="132" t="s">
        <v>97</v>
      </c>
      <c r="D750" s="51" t="s">
        <v>75</v>
      </c>
      <c r="E750" s="112">
        <v>20.32</v>
      </c>
      <c r="F750" s="4"/>
      <c r="G750" s="59">
        <f t="shared" si="18"/>
        <v>0</v>
      </c>
      <c r="K750" s="93"/>
    </row>
    <row r="751" spans="2:11" s="38" customFormat="1" ht="111" customHeight="1" outlineLevel="1">
      <c r="B751" s="71" t="s">
        <v>820</v>
      </c>
      <c r="C751" s="132" t="s">
        <v>99</v>
      </c>
      <c r="D751" s="51" t="s">
        <v>75</v>
      </c>
      <c r="E751" s="112">
        <v>69.05</v>
      </c>
      <c r="F751" s="4"/>
      <c r="G751" s="59">
        <f t="shared" si="18"/>
        <v>0</v>
      </c>
      <c r="K751" s="93"/>
    </row>
    <row r="752" spans="2:11" s="38" customFormat="1" ht="130.5" customHeight="1" outlineLevel="1">
      <c r="B752" s="71" t="s">
        <v>821</v>
      </c>
      <c r="C752" s="132" t="s">
        <v>340</v>
      </c>
      <c r="D752" s="51" t="s">
        <v>75</v>
      </c>
      <c r="E752" s="112">
        <v>1.38</v>
      </c>
      <c r="F752" s="4"/>
      <c r="G752" s="59">
        <f t="shared" si="18"/>
        <v>0</v>
      </c>
      <c r="K752" s="93"/>
    </row>
    <row r="753" spans="2:11" s="38" customFormat="1" ht="89.25" outlineLevel="1">
      <c r="B753" s="71" t="s">
        <v>822</v>
      </c>
      <c r="C753" s="132" t="s">
        <v>103</v>
      </c>
      <c r="D753" s="115"/>
      <c r="E753" s="112">
        <v>6.04</v>
      </c>
      <c r="G753" s="59">
        <f t="shared" si="18"/>
        <v>0</v>
      </c>
      <c r="K753" s="93"/>
    </row>
    <row r="754" spans="2:11" s="38" customFormat="1" ht="174.75" customHeight="1" outlineLevel="1">
      <c r="B754" s="71" t="s">
        <v>823</v>
      </c>
      <c r="C754" s="130" t="s">
        <v>343</v>
      </c>
      <c r="D754" s="51" t="s">
        <v>75</v>
      </c>
      <c r="E754" s="112">
        <v>5.19</v>
      </c>
      <c r="F754" s="4"/>
      <c r="G754" s="59">
        <f t="shared" si="18"/>
        <v>0</v>
      </c>
      <c r="K754" s="93"/>
    </row>
    <row r="755" spans="2:11" s="38" customFormat="1" ht="178.5" outlineLevel="1">
      <c r="B755" s="71" t="s">
        <v>824</v>
      </c>
      <c r="C755" s="132" t="s">
        <v>2614</v>
      </c>
      <c r="D755" s="51" t="s">
        <v>75</v>
      </c>
      <c r="E755" s="112">
        <v>11.06</v>
      </c>
      <c r="F755" s="4"/>
      <c r="G755" s="59">
        <f t="shared" si="18"/>
        <v>0</v>
      </c>
      <c r="K755" s="93"/>
    </row>
    <row r="756" spans="2:11" s="38" customFormat="1" ht="178.5" outlineLevel="1">
      <c r="B756" s="71" t="s">
        <v>825</v>
      </c>
      <c r="C756" s="130" t="s">
        <v>2617</v>
      </c>
      <c r="D756" s="51" t="s">
        <v>75</v>
      </c>
      <c r="E756" s="112">
        <v>3.33</v>
      </c>
      <c r="F756" s="4"/>
      <c r="G756" s="59">
        <f t="shared" si="18"/>
        <v>0</v>
      </c>
      <c r="K756" s="93"/>
    </row>
    <row r="757" spans="2:11" s="38" customFormat="1" ht="169.5" customHeight="1" outlineLevel="1">
      <c r="B757" s="71" t="s">
        <v>826</v>
      </c>
      <c r="C757" s="132" t="s">
        <v>347</v>
      </c>
      <c r="D757" s="51" t="s">
        <v>75</v>
      </c>
      <c r="E757" s="112">
        <v>3.47</v>
      </c>
      <c r="F757" s="4"/>
      <c r="G757" s="59">
        <f t="shared" si="18"/>
        <v>0</v>
      </c>
      <c r="K757" s="93"/>
    </row>
    <row r="758" spans="2:11" s="38" customFormat="1" ht="85.5" customHeight="1" outlineLevel="1">
      <c r="B758" s="71" t="s">
        <v>827</v>
      </c>
      <c r="C758" s="132" t="s">
        <v>349</v>
      </c>
      <c r="D758" s="51" t="s">
        <v>75</v>
      </c>
      <c r="E758" s="112">
        <v>26.05</v>
      </c>
      <c r="F758" s="4"/>
      <c r="G758" s="59">
        <f t="shared" si="18"/>
        <v>0</v>
      </c>
      <c r="K758" s="93"/>
    </row>
    <row r="759" spans="2:11" s="38" customFormat="1" ht="90.75" customHeight="1" outlineLevel="1">
      <c r="B759" s="71" t="s">
        <v>828</v>
      </c>
      <c r="C759" s="132" t="s">
        <v>351</v>
      </c>
      <c r="D759" s="51" t="s">
        <v>75</v>
      </c>
      <c r="E759" s="112">
        <v>30.45</v>
      </c>
      <c r="F759" s="4"/>
      <c r="G759" s="59">
        <f t="shared" si="18"/>
        <v>0</v>
      </c>
      <c r="K759" s="93"/>
    </row>
    <row r="760" spans="2:11" s="38" customFormat="1" ht="100.5" customHeight="1" outlineLevel="1">
      <c r="B760" s="71" t="s">
        <v>829</v>
      </c>
      <c r="C760" s="132" t="s">
        <v>353</v>
      </c>
      <c r="D760" s="51" t="s">
        <v>75</v>
      </c>
      <c r="E760" s="112">
        <v>6</v>
      </c>
      <c r="F760" s="4"/>
      <c r="G760" s="59">
        <f t="shared" si="18"/>
        <v>0</v>
      </c>
      <c r="K760" s="93"/>
    </row>
    <row r="761" spans="2:11" s="38" customFormat="1" ht="101.25" customHeight="1" outlineLevel="1">
      <c r="B761" s="71" t="s">
        <v>830</v>
      </c>
      <c r="C761" s="132" t="s">
        <v>355</v>
      </c>
      <c r="D761" s="51" t="s">
        <v>84</v>
      </c>
      <c r="E761" s="112">
        <v>11.9</v>
      </c>
      <c r="F761" s="4"/>
      <c r="G761" s="59">
        <f t="shared" si="18"/>
        <v>0</v>
      </c>
      <c r="K761" s="93"/>
    </row>
    <row r="762" spans="2:11" s="38" customFormat="1" ht="100.5" customHeight="1" outlineLevel="1">
      <c r="B762" s="71" t="s">
        <v>831</v>
      </c>
      <c r="C762" s="132" t="s">
        <v>357</v>
      </c>
      <c r="D762" s="51" t="s">
        <v>84</v>
      </c>
      <c r="E762" s="112">
        <v>5.5</v>
      </c>
      <c r="F762" s="4"/>
      <c r="G762" s="59">
        <f t="shared" si="18"/>
        <v>0</v>
      </c>
      <c r="K762" s="93"/>
    </row>
    <row r="763" spans="2:11" s="38" customFormat="1" ht="96.75" customHeight="1" outlineLevel="1">
      <c r="B763" s="71" t="s">
        <v>832</v>
      </c>
      <c r="C763" s="132" t="s">
        <v>121</v>
      </c>
      <c r="D763" s="51" t="s">
        <v>84</v>
      </c>
      <c r="E763" s="112">
        <v>5.5</v>
      </c>
      <c r="F763" s="4"/>
      <c r="G763" s="59">
        <f t="shared" si="18"/>
        <v>0</v>
      </c>
      <c r="K763" s="93"/>
    </row>
    <row r="764" spans="2:11" s="38" customFormat="1" ht="61.5" customHeight="1" outlineLevel="1">
      <c r="B764" s="71" t="s">
        <v>833</v>
      </c>
      <c r="C764" s="132" t="s">
        <v>95</v>
      </c>
      <c r="D764" s="51" t="s">
        <v>75</v>
      </c>
      <c r="E764" s="112">
        <v>1.38</v>
      </c>
      <c r="F764" s="4"/>
      <c r="G764" s="59">
        <f t="shared" si="18"/>
        <v>0</v>
      </c>
      <c r="K764" s="93"/>
    </row>
    <row r="765" spans="2:11" s="38" customFormat="1" outlineLevel="1">
      <c r="B765" s="71"/>
      <c r="C765" s="50"/>
      <c r="D765" s="51"/>
      <c r="E765" s="112"/>
      <c r="F765" s="4"/>
      <c r="G765" s="59">
        <f t="shared" si="18"/>
        <v>0</v>
      </c>
      <c r="K765" s="93"/>
    </row>
    <row r="766" spans="2:11" s="38" customFormat="1">
      <c r="B766" s="71" t="s">
        <v>834</v>
      </c>
      <c r="C766" s="55" t="s">
        <v>123</v>
      </c>
      <c r="D766" s="56"/>
      <c r="E766" s="124">
        <v>0</v>
      </c>
      <c r="F766" s="4"/>
      <c r="G766" s="59">
        <f t="shared" si="18"/>
        <v>0</v>
      </c>
      <c r="K766" s="93"/>
    </row>
    <row r="767" spans="2:11" s="38" customFormat="1" ht="146.25" customHeight="1" outlineLevel="1">
      <c r="B767" s="71" t="s">
        <v>835</v>
      </c>
      <c r="C767" s="132" t="s">
        <v>361</v>
      </c>
      <c r="D767" s="51" t="s">
        <v>75</v>
      </c>
      <c r="E767" s="112">
        <v>13.99</v>
      </c>
      <c r="F767" s="4"/>
      <c r="G767" s="59">
        <f t="shared" si="18"/>
        <v>0</v>
      </c>
      <c r="K767" s="93"/>
    </row>
    <row r="768" spans="2:11" s="38" customFormat="1" ht="193.5" customHeight="1" outlineLevel="1">
      <c r="B768" s="71" t="s">
        <v>836</v>
      </c>
      <c r="C768" s="132" t="s">
        <v>363</v>
      </c>
      <c r="D768" s="51" t="s">
        <v>75</v>
      </c>
      <c r="E768" s="112">
        <v>4.45</v>
      </c>
      <c r="F768" s="4"/>
      <c r="G768" s="59">
        <f t="shared" si="18"/>
        <v>0</v>
      </c>
      <c r="K768" s="93"/>
    </row>
    <row r="769" spans="2:11" s="38" customFormat="1" ht="137.25" customHeight="1" outlineLevel="1">
      <c r="B769" s="71" t="s">
        <v>837</v>
      </c>
      <c r="C769" s="132" t="s">
        <v>365</v>
      </c>
      <c r="D769" s="51" t="s">
        <v>84</v>
      </c>
      <c r="E769" s="112">
        <v>5</v>
      </c>
      <c r="F769" s="4"/>
      <c r="G769" s="59">
        <f t="shared" si="18"/>
        <v>0</v>
      </c>
      <c r="K769" s="93"/>
    </row>
    <row r="770" spans="2:11" s="38" customFormat="1" ht="99.75" customHeight="1" outlineLevel="1">
      <c r="B770" s="71" t="s">
        <v>838</v>
      </c>
      <c r="C770" s="132" t="s">
        <v>131</v>
      </c>
      <c r="D770" s="51" t="s">
        <v>75</v>
      </c>
      <c r="E770" s="112">
        <v>7.35</v>
      </c>
      <c r="F770" s="4"/>
      <c r="G770" s="59">
        <f t="shared" si="18"/>
        <v>0</v>
      </c>
      <c r="K770" s="93"/>
    </row>
    <row r="771" spans="2:11" s="38" customFormat="1" ht="107.25" customHeight="1" outlineLevel="1">
      <c r="B771" s="71" t="s">
        <v>839</v>
      </c>
      <c r="C771" s="132" t="s">
        <v>368</v>
      </c>
      <c r="D771" s="51" t="s">
        <v>75</v>
      </c>
      <c r="E771" s="112">
        <v>13.99</v>
      </c>
      <c r="F771" s="4"/>
      <c r="G771" s="59">
        <f t="shared" si="18"/>
        <v>0</v>
      </c>
      <c r="K771" s="93"/>
    </row>
    <row r="772" spans="2:11" s="38" customFormat="1" ht="89.25" outlineLevel="1">
      <c r="B772" s="71" t="s">
        <v>840</v>
      </c>
      <c r="C772" s="132" t="s">
        <v>370</v>
      </c>
      <c r="D772" s="51" t="s">
        <v>75</v>
      </c>
      <c r="E772" s="112">
        <v>4.45</v>
      </c>
      <c r="F772" s="4"/>
      <c r="G772" s="59">
        <f t="shared" si="18"/>
        <v>0</v>
      </c>
      <c r="K772" s="93"/>
    </row>
    <row r="773" spans="2:11" s="38" customFormat="1" ht="72" customHeight="1" outlineLevel="1">
      <c r="B773" s="71" t="s">
        <v>841</v>
      </c>
      <c r="C773" s="132" t="s">
        <v>137</v>
      </c>
      <c r="D773" s="51" t="s">
        <v>75</v>
      </c>
      <c r="E773" s="112">
        <v>8.14</v>
      </c>
      <c r="F773" s="4"/>
      <c r="G773" s="59">
        <f t="shared" si="18"/>
        <v>0</v>
      </c>
      <c r="K773" s="93"/>
    </row>
    <row r="774" spans="2:11" s="38" customFormat="1" ht="62.25" customHeight="1" outlineLevel="1">
      <c r="B774" s="71" t="s">
        <v>842</v>
      </c>
      <c r="C774" s="132" t="s">
        <v>139</v>
      </c>
      <c r="D774" s="51" t="s">
        <v>140</v>
      </c>
      <c r="E774" s="112">
        <v>1</v>
      </c>
      <c r="F774" s="4"/>
      <c r="G774" s="59">
        <f t="shared" si="18"/>
        <v>0</v>
      </c>
      <c r="K774" s="93"/>
    </row>
    <row r="775" spans="2:11" s="38" customFormat="1" ht="86.25" customHeight="1" outlineLevel="1">
      <c r="B775" s="71" t="s">
        <v>843</v>
      </c>
      <c r="C775" s="132" t="s">
        <v>142</v>
      </c>
      <c r="D775" s="51" t="s">
        <v>84</v>
      </c>
      <c r="E775" s="112">
        <v>3.96</v>
      </c>
      <c r="F775" s="4"/>
      <c r="G775" s="59">
        <f t="shared" si="18"/>
        <v>0</v>
      </c>
      <c r="K775" s="93"/>
    </row>
    <row r="776" spans="2:11" s="38" customFormat="1" ht="95.25" customHeight="1" outlineLevel="1">
      <c r="B776" s="71" t="s">
        <v>844</v>
      </c>
      <c r="C776" s="132" t="s">
        <v>144</v>
      </c>
      <c r="D776" s="51" t="s">
        <v>84</v>
      </c>
      <c r="E776" s="112">
        <v>10.82</v>
      </c>
      <c r="F776" s="4"/>
      <c r="G776" s="59">
        <f t="shared" si="18"/>
        <v>0</v>
      </c>
      <c r="K776" s="93"/>
    </row>
    <row r="777" spans="2:11" s="38" customFormat="1" outlineLevel="1">
      <c r="B777" s="71"/>
      <c r="C777" s="50"/>
      <c r="D777" s="51"/>
      <c r="E777" s="112"/>
      <c r="F777" s="4"/>
      <c r="G777" s="59">
        <f t="shared" si="18"/>
        <v>0</v>
      </c>
      <c r="K777" s="93"/>
    </row>
    <row r="778" spans="2:11" s="38" customFormat="1">
      <c r="B778" s="71" t="s">
        <v>845</v>
      </c>
      <c r="C778" s="55" t="s">
        <v>146</v>
      </c>
      <c r="D778" s="56"/>
      <c r="E778" s="124">
        <v>0</v>
      </c>
      <c r="F778" s="4"/>
      <c r="G778" s="59">
        <f t="shared" si="18"/>
        <v>0</v>
      </c>
      <c r="K778" s="93"/>
    </row>
    <row r="779" spans="2:11" s="38" customFormat="1" ht="171.75" customHeight="1" outlineLevel="1">
      <c r="B779" s="71" t="s">
        <v>846</v>
      </c>
      <c r="C779" s="130" t="s">
        <v>2637</v>
      </c>
      <c r="D779" s="51" t="s">
        <v>140</v>
      </c>
      <c r="E779" s="112">
        <v>1</v>
      </c>
      <c r="F779" s="4"/>
      <c r="G779" s="59">
        <f t="shared" si="18"/>
        <v>0</v>
      </c>
      <c r="K779" s="93"/>
    </row>
    <row r="780" spans="2:11" s="38" customFormat="1" ht="186.75" customHeight="1" outlineLevel="1">
      <c r="B780" s="71" t="s">
        <v>847</v>
      </c>
      <c r="C780" s="130" t="s">
        <v>149</v>
      </c>
      <c r="D780" s="51" t="s">
        <v>140</v>
      </c>
      <c r="E780" s="112">
        <v>1</v>
      </c>
      <c r="F780" s="4"/>
      <c r="G780" s="59">
        <f t="shared" si="18"/>
        <v>0</v>
      </c>
      <c r="K780" s="93"/>
    </row>
    <row r="781" spans="2:11" s="38" customFormat="1" outlineLevel="1">
      <c r="B781" s="71"/>
      <c r="C781" s="50"/>
      <c r="D781" s="51"/>
      <c r="E781" s="112"/>
      <c r="F781" s="4"/>
      <c r="G781" s="59">
        <f t="shared" si="18"/>
        <v>0</v>
      </c>
      <c r="K781" s="93"/>
    </row>
    <row r="782" spans="2:11" s="38" customFormat="1">
      <c r="B782" s="71" t="s">
        <v>848</v>
      </c>
      <c r="C782" s="55" t="s">
        <v>151</v>
      </c>
      <c r="D782" s="56"/>
      <c r="E782" s="124">
        <v>0</v>
      </c>
      <c r="F782" s="4"/>
      <c r="G782" s="59">
        <f t="shared" si="18"/>
        <v>0</v>
      </c>
      <c r="K782" s="93"/>
    </row>
    <row r="783" spans="2:11" s="38" customFormat="1" ht="38.25" outlineLevel="1">
      <c r="B783" s="71" t="s">
        <v>849</v>
      </c>
      <c r="C783" s="132" t="s">
        <v>153</v>
      </c>
      <c r="D783" s="51" t="s">
        <v>140</v>
      </c>
      <c r="E783" s="112">
        <v>1</v>
      </c>
      <c r="F783" s="13"/>
      <c r="G783" s="59">
        <f t="shared" si="18"/>
        <v>0</v>
      </c>
      <c r="K783" s="93"/>
    </row>
    <row r="784" spans="2:11" s="38" customFormat="1" ht="51" outlineLevel="1">
      <c r="B784" s="71" t="s">
        <v>850</v>
      </c>
      <c r="C784" s="132" t="s">
        <v>155</v>
      </c>
      <c r="D784" s="51" t="s">
        <v>140</v>
      </c>
      <c r="E784" s="112">
        <v>1</v>
      </c>
      <c r="F784" s="13"/>
      <c r="G784" s="59">
        <f t="shared" si="18"/>
        <v>0</v>
      </c>
      <c r="K784" s="93"/>
    </row>
    <row r="785" spans="2:11" s="38" customFormat="1" outlineLevel="1">
      <c r="B785" s="71"/>
      <c r="C785" s="50"/>
      <c r="D785" s="51"/>
      <c r="E785" s="112"/>
      <c r="F785" s="13"/>
      <c r="G785" s="59">
        <f t="shared" si="18"/>
        <v>0</v>
      </c>
      <c r="K785" s="93"/>
    </row>
    <row r="786" spans="2:11" s="38" customFormat="1">
      <c r="B786" s="71" t="s">
        <v>851</v>
      </c>
      <c r="C786" s="55" t="s">
        <v>157</v>
      </c>
      <c r="D786" s="56"/>
      <c r="E786" s="124">
        <v>0</v>
      </c>
      <c r="F786" s="4">
        <v>0</v>
      </c>
      <c r="G786" s="59">
        <f t="shared" si="18"/>
        <v>0</v>
      </c>
      <c r="K786" s="93"/>
    </row>
    <row r="787" spans="2:11" s="38" customFormat="1" ht="47.25" customHeight="1" outlineLevel="1">
      <c r="B787" s="98"/>
      <c r="C787" s="132" t="s">
        <v>158</v>
      </c>
      <c r="D787" s="51"/>
      <c r="E787" s="112"/>
      <c r="F787" s="4"/>
      <c r="G787" s="59">
        <f t="shared" si="18"/>
        <v>0</v>
      </c>
      <c r="K787" s="93"/>
    </row>
    <row r="788" spans="2:11" s="38" customFormat="1" ht="30" customHeight="1" outlineLevel="1">
      <c r="B788" s="71" t="s">
        <v>852</v>
      </c>
      <c r="C788" s="132" t="s">
        <v>160</v>
      </c>
      <c r="D788" s="51" t="s">
        <v>140</v>
      </c>
      <c r="E788" s="112">
        <v>1</v>
      </c>
      <c r="F788" s="4"/>
      <c r="G788" s="59">
        <f t="shared" si="18"/>
        <v>0</v>
      </c>
      <c r="K788" s="100"/>
    </row>
    <row r="789" spans="2:11" s="38" customFormat="1" ht="38.25" outlineLevel="1">
      <c r="B789" s="71" t="s">
        <v>853</v>
      </c>
      <c r="C789" s="132" t="s">
        <v>162</v>
      </c>
      <c r="D789" s="51" t="s">
        <v>140</v>
      </c>
      <c r="E789" s="112">
        <v>1</v>
      </c>
      <c r="F789" s="4"/>
      <c r="G789" s="59">
        <f t="shared" si="18"/>
        <v>0</v>
      </c>
      <c r="K789" s="100"/>
    </row>
    <row r="790" spans="2:11" s="38" customFormat="1" ht="51" outlineLevel="1">
      <c r="B790" s="71" t="s">
        <v>854</v>
      </c>
      <c r="C790" s="132" t="s">
        <v>164</v>
      </c>
      <c r="D790" s="51" t="s">
        <v>140</v>
      </c>
      <c r="E790" s="112">
        <v>1</v>
      </c>
      <c r="F790" s="4"/>
      <c r="G790" s="59">
        <f t="shared" si="18"/>
        <v>0</v>
      </c>
      <c r="K790" s="100"/>
    </row>
    <row r="791" spans="2:11" s="38" customFormat="1" ht="147" customHeight="1" outlineLevel="1">
      <c r="B791" s="71" t="s">
        <v>855</v>
      </c>
      <c r="C791" s="132" t="s">
        <v>856</v>
      </c>
      <c r="D791" s="51" t="s">
        <v>140</v>
      </c>
      <c r="E791" s="112">
        <v>1</v>
      </c>
      <c r="F791" s="4"/>
      <c r="G791" s="59">
        <f t="shared" si="18"/>
        <v>0</v>
      </c>
      <c r="K791" s="100"/>
    </row>
    <row r="792" spans="2:11" s="38" customFormat="1" ht="123" customHeight="1" outlineLevel="1">
      <c r="B792" s="71" t="s">
        <v>857</v>
      </c>
      <c r="C792" s="132" t="s">
        <v>858</v>
      </c>
      <c r="D792" s="51" t="s">
        <v>140</v>
      </c>
      <c r="E792" s="112">
        <v>1</v>
      </c>
      <c r="F792" s="4"/>
      <c r="G792" s="59">
        <f t="shared" si="18"/>
        <v>0</v>
      </c>
      <c r="K792" s="100"/>
    </row>
    <row r="793" spans="2:11" s="38" customFormat="1" ht="66" customHeight="1" outlineLevel="1">
      <c r="B793" s="71" t="s">
        <v>859</v>
      </c>
      <c r="C793" s="132" t="s">
        <v>170</v>
      </c>
      <c r="D793" s="51" t="s">
        <v>140</v>
      </c>
      <c r="E793" s="112">
        <v>1</v>
      </c>
      <c r="F793" s="4"/>
      <c r="G793" s="59">
        <f t="shared" si="18"/>
        <v>0</v>
      </c>
      <c r="K793" s="100"/>
    </row>
    <row r="794" spans="2:11" s="38" customFormat="1" ht="70.5" customHeight="1" outlineLevel="1">
      <c r="B794" s="71" t="s">
        <v>860</v>
      </c>
      <c r="C794" s="132" t="s">
        <v>172</v>
      </c>
      <c r="D794" s="51" t="s">
        <v>140</v>
      </c>
      <c r="E794" s="112">
        <v>1</v>
      </c>
      <c r="F794" s="4"/>
      <c r="G794" s="59">
        <f t="shared" si="18"/>
        <v>0</v>
      </c>
      <c r="K794" s="100"/>
    </row>
    <row r="795" spans="2:11" s="38" customFormat="1" ht="48.75" customHeight="1" outlineLevel="1">
      <c r="B795" s="71" t="s">
        <v>861</v>
      </c>
      <c r="C795" s="132" t="s">
        <v>174</v>
      </c>
      <c r="D795" s="51" t="s">
        <v>140</v>
      </c>
      <c r="E795" s="112">
        <v>1</v>
      </c>
      <c r="F795" s="4"/>
      <c r="G795" s="59">
        <f t="shared" ref="G795:G810" si="19">E795*F795</f>
        <v>0</v>
      </c>
      <c r="K795" s="100"/>
    </row>
    <row r="796" spans="2:11" s="38" customFormat="1" ht="52.5" customHeight="1" outlineLevel="1">
      <c r="B796" s="71" t="s">
        <v>862</v>
      </c>
      <c r="C796" s="132" t="s">
        <v>2638</v>
      </c>
      <c r="D796" s="51" t="s">
        <v>140</v>
      </c>
      <c r="E796" s="112">
        <v>1</v>
      </c>
      <c r="F796" s="4"/>
      <c r="G796" s="59">
        <f t="shared" si="19"/>
        <v>0</v>
      </c>
      <c r="K796" s="100"/>
    </row>
    <row r="797" spans="2:11" s="38" customFormat="1" ht="52.5" customHeight="1" outlineLevel="1">
      <c r="B797" s="71" t="s">
        <v>863</v>
      </c>
      <c r="C797" s="132" t="s">
        <v>177</v>
      </c>
      <c r="D797" s="51" t="s">
        <v>140</v>
      </c>
      <c r="E797" s="112">
        <v>1</v>
      </c>
      <c r="F797" s="4"/>
      <c r="G797" s="59">
        <f t="shared" si="19"/>
        <v>0</v>
      </c>
      <c r="K797" s="100"/>
    </row>
    <row r="798" spans="2:11" s="38" customFormat="1" ht="75" customHeight="1" outlineLevel="1">
      <c r="B798" s="71" t="s">
        <v>864</v>
      </c>
      <c r="C798" s="132" t="s">
        <v>179</v>
      </c>
      <c r="D798" s="51" t="s">
        <v>140</v>
      </c>
      <c r="E798" s="112">
        <v>1</v>
      </c>
      <c r="F798" s="4"/>
      <c r="G798" s="59">
        <f t="shared" si="19"/>
        <v>0</v>
      </c>
      <c r="K798" s="100"/>
    </row>
    <row r="799" spans="2:11" s="38" customFormat="1" ht="63.75" customHeight="1" outlineLevel="1">
      <c r="B799" s="71" t="s">
        <v>865</v>
      </c>
      <c r="C799" s="132" t="s">
        <v>181</v>
      </c>
      <c r="D799" s="51" t="s">
        <v>140</v>
      </c>
      <c r="E799" s="112">
        <v>1</v>
      </c>
      <c r="F799" s="4"/>
      <c r="G799" s="59">
        <f t="shared" si="19"/>
        <v>0</v>
      </c>
      <c r="K799" s="100"/>
    </row>
    <row r="800" spans="2:11" s="38" customFormat="1" ht="25.5" outlineLevel="1">
      <c r="B800" s="71" t="s">
        <v>866</v>
      </c>
      <c r="C800" s="132" t="s">
        <v>183</v>
      </c>
      <c r="D800" s="51" t="s">
        <v>140</v>
      </c>
      <c r="E800" s="112">
        <v>1</v>
      </c>
      <c r="F800" s="4"/>
      <c r="G800" s="59">
        <f t="shared" si="19"/>
        <v>0</v>
      </c>
      <c r="K800" s="100"/>
    </row>
    <row r="801" spans="2:11" s="38" customFormat="1" ht="52.5" customHeight="1" outlineLevel="1">
      <c r="B801" s="71" t="s">
        <v>867</v>
      </c>
      <c r="C801" s="132" t="s">
        <v>185</v>
      </c>
      <c r="D801" s="51" t="s">
        <v>140</v>
      </c>
      <c r="E801" s="112">
        <v>2</v>
      </c>
      <c r="F801" s="4">
        <v>0</v>
      </c>
      <c r="G801" s="59">
        <f t="shared" si="19"/>
        <v>0</v>
      </c>
      <c r="K801" s="100"/>
    </row>
    <row r="802" spans="2:11" s="38" customFormat="1" ht="50.25" customHeight="1" outlineLevel="1">
      <c r="B802" s="71" t="s">
        <v>868</v>
      </c>
      <c r="C802" s="132" t="s">
        <v>187</v>
      </c>
      <c r="D802" s="51" t="s">
        <v>140</v>
      </c>
      <c r="E802" s="112">
        <v>1</v>
      </c>
      <c r="F802" s="4">
        <v>0</v>
      </c>
      <c r="G802" s="59">
        <f t="shared" si="19"/>
        <v>0</v>
      </c>
      <c r="K802" s="100"/>
    </row>
    <row r="803" spans="2:11" s="38" customFormat="1" ht="52.5" customHeight="1" outlineLevel="1">
      <c r="B803" s="71" t="s">
        <v>869</v>
      </c>
      <c r="C803" s="132" t="s">
        <v>189</v>
      </c>
      <c r="D803" s="51" t="s">
        <v>140</v>
      </c>
      <c r="E803" s="112">
        <v>2</v>
      </c>
      <c r="F803" s="4">
        <v>0</v>
      </c>
      <c r="G803" s="59">
        <f t="shared" si="19"/>
        <v>0</v>
      </c>
      <c r="K803" s="100"/>
    </row>
    <row r="804" spans="2:11" s="38" customFormat="1" ht="33.75" customHeight="1" outlineLevel="1">
      <c r="B804" s="71" t="s">
        <v>870</v>
      </c>
      <c r="C804" s="132" t="s">
        <v>191</v>
      </c>
      <c r="D804" s="51" t="s">
        <v>140</v>
      </c>
      <c r="E804" s="112">
        <v>1</v>
      </c>
      <c r="F804" s="4">
        <v>0</v>
      </c>
      <c r="G804" s="59">
        <f t="shared" si="19"/>
        <v>0</v>
      </c>
      <c r="K804" s="100"/>
    </row>
    <row r="805" spans="2:11" s="38" customFormat="1" ht="68.25" customHeight="1" outlineLevel="1">
      <c r="B805" s="71" t="s">
        <v>871</v>
      </c>
      <c r="C805" s="132" t="s">
        <v>193</v>
      </c>
      <c r="D805" s="51" t="s">
        <v>140</v>
      </c>
      <c r="E805" s="112">
        <v>1</v>
      </c>
      <c r="F805" s="4"/>
      <c r="G805" s="59">
        <f t="shared" si="19"/>
        <v>0</v>
      </c>
      <c r="K805" s="100"/>
    </row>
    <row r="806" spans="2:11" s="38" customFormat="1" ht="213.75" customHeight="1" outlineLevel="1">
      <c r="B806" s="71" t="s">
        <v>872</v>
      </c>
      <c r="C806" s="132" t="s">
        <v>195</v>
      </c>
      <c r="D806" s="51" t="s">
        <v>140</v>
      </c>
      <c r="E806" s="112">
        <v>1</v>
      </c>
      <c r="F806" s="4">
        <v>0</v>
      </c>
      <c r="G806" s="59">
        <f t="shared" si="19"/>
        <v>0</v>
      </c>
      <c r="K806" s="100"/>
    </row>
    <row r="807" spans="2:11" s="38" customFormat="1" ht="78" customHeight="1" outlineLevel="1">
      <c r="B807" s="71" t="s">
        <v>873</v>
      </c>
      <c r="C807" s="132" t="s">
        <v>197</v>
      </c>
      <c r="D807" s="51" t="s">
        <v>140</v>
      </c>
      <c r="E807" s="112">
        <v>1</v>
      </c>
      <c r="F807" s="4"/>
      <c r="G807" s="59">
        <f t="shared" si="19"/>
        <v>0</v>
      </c>
      <c r="K807" s="100"/>
    </row>
    <row r="808" spans="2:11" s="38" customFormat="1" ht="81" customHeight="1" outlineLevel="1">
      <c r="B808" s="71" t="s">
        <v>874</v>
      </c>
      <c r="C808" s="132" t="s">
        <v>2627</v>
      </c>
      <c r="D808" s="51" t="s">
        <v>140</v>
      </c>
      <c r="E808" s="112">
        <v>1</v>
      </c>
      <c r="F808" s="4"/>
      <c r="G808" s="59">
        <f t="shared" si="19"/>
        <v>0</v>
      </c>
      <c r="K808" s="93"/>
    </row>
    <row r="809" spans="2:11" s="38" customFormat="1" ht="105" customHeight="1" outlineLevel="1">
      <c r="B809" s="71" t="s">
        <v>875</v>
      </c>
      <c r="C809" s="132" t="s">
        <v>200</v>
      </c>
      <c r="D809" s="51" t="s">
        <v>140</v>
      </c>
      <c r="E809" s="112">
        <v>1</v>
      </c>
      <c r="F809" s="4"/>
      <c r="G809" s="59">
        <f t="shared" si="19"/>
        <v>0</v>
      </c>
      <c r="K809" s="93"/>
    </row>
    <row r="810" spans="2:11" s="38" customFormat="1">
      <c r="B810" s="71" t="s">
        <v>876</v>
      </c>
      <c r="C810" s="55" t="s">
        <v>202</v>
      </c>
      <c r="D810" s="56"/>
      <c r="E810" s="124">
        <v>0</v>
      </c>
      <c r="F810" s="4"/>
      <c r="G810" s="59">
        <f t="shared" si="19"/>
        <v>0</v>
      </c>
      <c r="K810" s="100"/>
    </row>
    <row r="811" spans="2:11" s="38" customFormat="1" ht="63.75" outlineLevel="1">
      <c r="B811" s="71" t="s">
        <v>877</v>
      </c>
      <c r="C811" s="132" t="s">
        <v>204</v>
      </c>
      <c r="D811" s="51" t="s">
        <v>84</v>
      </c>
      <c r="E811" s="112">
        <v>3.14</v>
      </c>
      <c r="F811" s="4"/>
      <c r="G811" s="59">
        <f>E811*F811</f>
        <v>0</v>
      </c>
      <c r="K811" s="100"/>
    </row>
    <row r="812" spans="2:11" s="38" customFormat="1">
      <c r="B812" s="71"/>
      <c r="C812" s="55"/>
      <c r="D812" s="56"/>
      <c r="E812" s="124"/>
      <c r="F812" s="4"/>
      <c r="G812" s="4"/>
      <c r="K812" s="100"/>
    </row>
    <row r="813" spans="2:11" s="38" customFormat="1">
      <c r="B813" s="72" t="s">
        <v>878</v>
      </c>
      <c r="C813" s="52"/>
      <c r="D813" s="15"/>
      <c r="E813" s="122"/>
      <c r="F813" s="54"/>
      <c r="G813" s="58">
        <f>SUM(G703:G812)</f>
        <v>0</v>
      </c>
      <c r="K813" s="93"/>
    </row>
    <row r="814" spans="2:11" s="38" customFormat="1" outlineLevel="1">
      <c r="B814" s="71"/>
      <c r="C814" s="50"/>
      <c r="D814" s="51"/>
      <c r="E814" s="112"/>
      <c r="F814" s="4"/>
      <c r="G814" s="59"/>
      <c r="K814" s="100"/>
    </row>
    <row r="815" spans="2:11" s="38" customFormat="1">
      <c r="B815" s="114" t="s">
        <v>879</v>
      </c>
      <c r="C815" s="52"/>
      <c r="D815" s="15"/>
      <c r="E815" s="122"/>
      <c r="F815" s="54"/>
      <c r="G815" s="58"/>
      <c r="K815" s="93"/>
    </row>
    <row r="816" spans="2:11" s="38" customFormat="1" ht="38.25">
      <c r="B816" s="116"/>
      <c r="C816" s="55" t="s">
        <v>207</v>
      </c>
      <c r="D816" s="11" t="s">
        <v>140</v>
      </c>
      <c r="E816" s="112">
        <v>13</v>
      </c>
      <c r="F816" s="13"/>
      <c r="G816" s="113">
        <f>E816*G813</f>
        <v>0</v>
      </c>
      <c r="K816" s="93"/>
    </row>
    <row r="817" spans="2:11" s="38" customFormat="1" outlineLevel="1">
      <c r="B817" s="71"/>
      <c r="C817" s="50"/>
      <c r="D817" s="51"/>
      <c r="E817" s="112"/>
      <c r="F817" s="4"/>
      <c r="G817" s="59"/>
      <c r="K817" s="100"/>
    </row>
    <row r="818" spans="2:11" s="38" customFormat="1">
      <c r="B818" s="135">
        <v>3.1</v>
      </c>
      <c r="C818" s="70" t="s">
        <v>880</v>
      </c>
      <c r="D818" s="49"/>
      <c r="E818" s="123">
        <v>0</v>
      </c>
      <c r="F818" s="54">
        <v>0</v>
      </c>
      <c r="G818" s="58"/>
      <c r="K818" s="93"/>
    </row>
    <row r="819" spans="2:11" s="38" customFormat="1">
      <c r="B819" s="116"/>
      <c r="C819" s="55"/>
      <c r="D819" s="56"/>
      <c r="E819" s="124"/>
      <c r="F819" s="13"/>
      <c r="G819" s="113"/>
      <c r="K819" s="93"/>
    </row>
    <row r="820" spans="2:11" s="38" customFormat="1" ht="45" customHeight="1">
      <c r="B820" s="116"/>
      <c r="C820" s="50" t="s">
        <v>60</v>
      </c>
      <c r="D820" s="56"/>
      <c r="E820" s="124"/>
      <c r="F820" s="13"/>
      <c r="G820" s="59">
        <f t="shared" ref="G820:G883" si="20">E820*F820</f>
        <v>0</v>
      </c>
      <c r="K820" s="93"/>
    </row>
    <row r="821" spans="2:11" s="38" customFormat="1">
      <c r="B821" s="116"/>
      <c r="C821" s="55"/>
      <c r="D821" s="56"/>
      <c r="E821" s="124"/>
      <c r="F821" s="13"/>
      <c r="G821" s="59">
        <f t="shared" si="20"/>
        <v>0</v>
      </c>
      <c r="K821" s="93"/>
    </row>
    <row r="822" spans="2:11" s="38" customFormat="1">
      <c r="B822" s="71" t="s">
        <v>881</v>
      </c>
      <c r="C822" s="55" t="s">
        <v>62</v>
      </c>
      <c r="D822" s="56"/>
      <c r="E822" s="124">
        <v>0</v>
      </c>
      <c r="F822" s="13">
        <v>0</v>
      </c>
      <c r="G822" s="59">
        <f t="shared" si="20"/>
        <v>0</v>
      </c>
      <c r="K822" s="93"/>
    </row>
    <row r="823" spans="2:11" s="38" customFormat="1" ht="198" customHeight="1" outlineLevel="1">
      <c r="B823" s="71" t="s">
        <v>882</v>
      </c>
      <c r="C823" s="132" t="s">
        <v>64</v>
      </c>
      <c r="D823" s="51" t="s">
        <v>38</v>
      </c>
      <c r="E823" s="112">
        <v>1</v>
      </c>
      <c r="F823" s="4"/>
      <c r="G823" s="59">
        <f t="shared" si="20"/>
        <v>0</v>
      </c>
      <c r="K823" s="93"/>
    </row>
    <row r="824" spans="2:11" s="38" customFormat="1">
      <c r="B824" s="71" t="s">
        <v>883</v>
      </c>
      <c r="C824" s="55" t="s">
        <v>66</v>
      </c>
      <c r="D824" s="56"/>
      <c r="E824" s="124">
        <v>0</v>
      </c>
      <c r="F824" s="13"/>
      <c r="G824" s="59">
        <f t="shared" si="20"/>
        <v>0</v>
      </c>
      <c r="K824" s="93"/>
    </row>
    <row r="825" spans="2:11" s="38" customFormat="1" ht="49.5" customHeight="1" outlineLevel="1">
      <c r="B825" s="71" t="s">
        <v>884</v>
      </c>
      <c r="C825" s="132" t="s">
        <v>68</v>
      </c>
      <c r="D825" s="51" t="s">
        <v>38</v>
      </c>
      <c r="E825" s="112">
        <v>1</v>
      </c>
      <c r="F825" s="4"/>
      <c r="G825" s="59">
        <f t="shared" si="20"/>
        <v>0</v>
      </c>
      <c r="K825" s="100"/>
    </row>
    <row r="826" spans="2:11" s="38" customFormat="1" ht="74.25" customHeight="1" outlineLevel="1">
      <c r="B826" s="71" t="s">
        <v>885</v>
      </c>
      <c r="C826" s="132" t="s">
        <v>70</v>
      </c>
      <c r="D826" s="51" t="s">
        <v>38</v>
      </c>
      <c r="E826" s="112">
        <v>1</v>
      </c>
      <c r="F826" s="4"/>
      <c r="G826" s="59">
        <f t="shared" si="20"/>
        <v>0</v>
      </c>
      <c r="K826" s="100"/>
    </row>
    <row r="827" spans="2:11" s="38" customFormat="1">
      <c r="B827" s="71" t="s">
        <v>886</v>
      </c>
      <c r="C827" s="55" t="s">
        <v>72</v>
      </c>
      <c r="D827" s="56"/>
      <c r="E827" s="124">
        <v>0</v>
      </c>
      <c r="F827" s="4">
        <v>0</v>
      </c>
      <c r="G827" s="59">
        <f t="shared" si="20"/>
        <v>0</v>
      </c>
      <c r="K827" s="93"/>
    </row>
    <row r="828" spans="2:11" s="38" customFormat="1" ht="116.25" customHeight="1" outlineLevel="1">
      <c r="B828" s="71" t="s">
        <v>887</v>
      </c>
      <c r="C828" s="132" t="s">
        <v>324</v>
      </c>
      <c r="D828" s="51" t="s">
        <v>75</v>
      </c>
      <c r="E828" s="112">
        <v>19.86</v>
      </c>
      <c r="F828" s="4"/>
      <c r="G828" s="59">
        <f t="shared" si="20"/>
        <v>0</v>
      </c>
      <c r="K828" s="93"/>
    </row>
    <row r="829" spans="2:11" s="38" customFormat="1" ht="90" customHeight="1" outlineLevel="1">
      <c r="B829" s="71" t="s">
        <v>888</v>
      </c>
      <c r="C829" s="132" t="s">
        <v>77</v>
      </c>
      <c r="D829" s="51" t="s">
        <v>75</v>
      </c>
      <c r="E829" s="112">
        <v>16.61</v>
      </c>
      <c r="F829" s="4"/>
      <c r="G829" s="59">
        <f t="shared" si="20"/>
        <v>0</v>
      </c>
      <c r="K829" s="93"/>
    </row>
    <row r="830" spans="2:11" s="38" customFormat="1" ht="74.25" customHeight="1" outlineLevel="1">
      <c r="B830" s="71" t="s">
        <v>889</v>
      </c>
      <c r="C830" s="132" t="s">
        <v>327</v>
      </c>
      <c r="D830" s="51" t="s">
        <v>75</v>
      </c>
      <c r="E830" s="112">
        <v>25.66</v>
      </c>
      <c r="F830" s="57"/>
      <c r="G830" s="59">
        <f t="shared" si="20"/>
        <v>0</v>
      </c>
      <c r="K830" s="93"/>
    </row>
    <row r="831" spans="2:11" s="38" customFormat="1" ht="105" customHeight="1" outlineLevel="1">
      <c r="B831" s="71" t="s">
        <v>890</v>
      </c>
      <c r="C831" s="132" t="s">
        <v>329</v>
      </c>
      <c r="D831" s="51" t="s">
        <v>75</v>
      </c>
      <c r="E831" s="112">
        <v>3.99</v>
      </c>
      <c r="F831" s="4"/>
      <c r="G831" s="59">
        <f t="shared" si="20"/>
        <v>0</v>
      </c>
      <c r="K831" s="93"/>
    </row>
    <row r="832" spans="2:11" s="38" customFormat="1" ht="69.75" customHeight="1" outlineLevel="1">
      <c r="B832" s="71" t="s">
        <v>891</v>
      </c>
      <c r="C832" s="132" t="s">
        <v>331</v>
      </c>
      <c r="D832" s="51" t="s">
        <v>84</v>
      </c>
      <c r="E832" s="112">
        <v>1.8</v>
      </c>
      <c r="F832" s="4"/>
      <c r="G832" s="59">
        <f t="shared" si="20"/>
        <v>0</v>
      </c>
      <c r="K832" s="93"/>
    </row>
    <row r="833" spans="2:11" s="38" customFormat="1" ht="46.5" customHeight="1" outlineLevel="1">
      <c r="B833" s="71" t="s">
        <v>892</v>
      </c>
      <c r="C833" s="132" t="s">
        <v>221</v>
      </c>
      <c r="D833" s="51" t="s">
        <v>84</v>
      </c>
      <c r="E833" s="112">
        <v>12.18</v>
      </c>
      <c r="F833" s="4"/>
      <c r="G833" s="59">
        <f t="shared" si="20"/>
        <v>0</v>
      </c>
      <c r="K833" s="93"/>
    </row>
    <row r="834" spans="2:11" s="38" customFormat="1" ht="45.75" customHeight="1" outlineLevel="1">
      <c r="B834" s="71" t="s">
        <v>893</v>
      </c>
      <c r="C834" s="132" t="s">
        <v>223</v>
      </c>
      <c r="D834" s="51" t="s">
        <v>84</v>
      </c>
      <c r="E834" s="112">
        <v>7.29</v>
      </c>
      <c r="F834" s="4"/>
      <c r="G834" s="59">
        <f t="shared" si="20"/>
        <v>0</v>
      </c>
      <c r="K834" s="93"/>
    </row>
    <row r="835" spans="2:11" s="38" customFormat="1" ht="114.75" outlineLevel="1">
      <c r="B835" s="71" t="s">
        <v>894</v>
      </c>
      <c r="C835" s="130" t="s">
        <v>335</v>
      </c>
      <c r="D835" s="51" t="s">
        <v>91</v>
      </c>
      <c r="E835" s="112">
        <v>1</v>
      </c>
      <c r="F835" s="4"/>
      <c r="G835" s="59">
        <f t="shared" si="20"/>
        <v>0</v>
      </c>
      <c r="K835" s="93"/>
    </row>
    <row r="836" spans="2:11" s="38" customFormat="1">
      <c r="B836" s="71" t="s">
        <v>895</v>
      </c>
      <c r="C836" s="55" t="s">
        <v>93</v>
      </c>
      <c r="D836" s="56"/>
      <c r="E836" s="124">
        <v>0</v>
      </c>
      <c r="F836" s="4">
        <v>0</v>
      </c>
      <c r="G836" s="59">
        <f t="shared" si="20"/>
        <v>0</v>
      </c>
      <c r="K836" s="93"/>
    </row>
    <row r="837" spans="2:11" s="38" customFormat="1" ht="83.25" customHeight="1" outlineLevel="1">
      <c r="B837" s="71" t="s">
        <v>896</v>
      </c>
      <c r="C837" s="132" t="s">
        <v>97</v>
      </c>
      <c r="D837" s="51" t="s">
        <v>75</v>
      </c>
      <c r="E837" s="112">
        <v>2.2000000000000002</v>
      </c>
      <c r="F837" s="4"/>
      <c r="G837" s="59">
        <f t="shared" si="20"/>
        <v>0</v>
      </c>
      <c r="K837" s="93"/>
    </row>
    <row r="838" spans="2:11" s="38" customFormat="1" ht="103.5" customHeight="1" outlineLevel="1">
      <c r="B838" s="71" t="s">
        <v>897</v>
      </c>
      <c r="C838" s="132" t="s">
        <v>99</v>
      </c>
      <c r="D838" s="51" t="s">
        <v>75</v>
      </c>
      <c r="E838" s="112">
        <v>56</v>
      </c>
      <c r="F838" s="4"/>
      <c r="G838" s="59">
        <f t="shared" si="20"/>
        <v>0</v>
      </c>
      <c r="K838" s="93"/>
    </row>
    <row r="839" spans="2:11" s="38" customFormat="1" ht="126.75" customHeight="1" outlineLevel="1">
      <c r="B839" s="71" t="s">
        <v>898</v>
      </c>
      <c r="C839" s="132" t="s">
        <v>340</v>
      </c>
      <c r="D839" s="51" t="s">
        <v>75</v>
      </c>
      <c r="E839" s="112">
        <v>1.45</v>
      </c>
      <c r="F839" s="4"/>
      <c r="G839" s="59">
        <f t="shared" si="20"/>
        <v>0</v>
      </c>
      <c r="K839" s="93"/>
    </row>
    <row r="840" spans="2:11" s="38" customFormat="1" ht="89.25" outlineLevel="1">
      <c r="B840" s="71" t="s">
        <v>899</v>
      </c>
      <c r="C840" s="132" t="s">
        <v>103</v>
      </c>
      <c r="D840" s="115"/>
      <c r="E840" s="112">
        <v>5.68</v>
      </c>
      <c r="G840" s="59">
        <f t="shared" si="20"/>
        <v>0</v>
      </c>
      <c r="K840" s="93"/>
    </row>
    <row r="841" spans="2:11" s="38" customFormat="1" ht="67.5" customHeight="1" outlineLevel="1">
      <c r="B841" s="71" t="s">
        <v>900</v>
      </c>
      <c r="C841" s="132" t="s">
        <v>95</v>
      </c>
      <c r="D841" s="51" t="s">
        <v>75</v>
      </c>
      <c r="E841" s="112">
        <v>2.78</v>
      </c>
      <c r="F841" s="4"/>
      <c r="G841" s="59">
        <f t="shared" si="20"/>
        <v>0</v>
      </c>
      <c r="K841" s="93"/>
    </row>
    <row r="842" spans="2:11" s="38" customFormat="1" ht="195.75" customHeight="1" outlineLevel="1">
      <c r="B842" s="71" t="s">
        <v>901</v>
      </c>
      <c r="C842" s="130" t="s">
        <v>343</v>
      </c>
      <c r="D842" s="51" t="s">
        <v>75</v>
      </c>
      <c r="E842" s="112">
        <v>7.82</v>
      </c>
      <c r="F842" s="4"/>
      <c r="G842" s="59">
        <f t="shared" si="20"/>
        <v>0</v>
      </c>
      <c r="K842" s="93"/>
    </row>
    <row r="843" spans="2:11" s="38" customFormat="1" ht="159.75" customHeight="1" outlineLevel="1">
      <c r="B843" s="71" t="s">
        <v>902</v>
      </c>
      <c r="C843" s="132" t="s">
        <v>234</v>
      </c>
      <c r="D843" s="51" t="s">
        <v>75</v>
      </c>
      <c r="E843" s="112">
        <v>11.94</v>
      </c>
      <c r="F843" s="4"/>
      <c r="G843" s="59">
        <f t="shared" si="20"/>
        <v>0</v>
      </c>
      <c r="K843" s="93"/>
    </row>
    <row r="844" spans="2:11" s="38" customFormat="1" ht="178.5" outlineLevel="1">
      <c r="B844" s="71" t="s">
        <v>903</v>
      </c>
      <c r="C844" s="130" t="s">
        <v>2617</v>
      </c>
      <c r="D844" s="51" t="s">
        <v>75</v>
      </c>
      <c r="E844" s="112">
        <v>3.42</v>
      </c>
      <c r="F844" s="4"/>
      <c r="G844" s="59">
        <f t="shared" si="20"/>
        <v>0</v>
      </c>
      <c r="K844" s="93"/>
    </row>
    <row r="845" spans="2:11" s="38" customFormat="1" ht="86.25" customHeight="1" outlineLevel="1">
      <c r="B845" s="71" t="s">
        <v>904</v>
      </c>
      <c r="C845" s="132" t="s">
        <v>435</v>
      </c>
      <c r="D845" s="51" t="s">
        <v>75</v>
      </c>
      <c r="E845" s="112">
        <v>28.4</v>
      </c>
      <c r="F845" s="4"/>
      <c r="G845" s="59">
        <f t="shared" si="20"/>
        <v>0</v>
      </c>
      <c r="K845" s="93"/>
    </row>
    <row r="846" spans="2:11" s="38" customFormat="1" ht="90" customHeight="1" outlineLevel="1">
      <c r="B846" s="71" t="s">
        <v>905</v>
      </c>
      <c r="C846" s="132" t="s">
        <v>437</v>
      </c>
      <c r="D846" s="51" t="s">
        <v>75</v>
      </c>
      <c r="E846" s="112">
        <v>19.14</v>
      </c>
      <c r="F846" s="4"/>
      <c r="G846" s="59">
        <f t="shared" si="20"/>
        <v>0</v>
      </c>
      <c r="K846" s="93"/>
    </row>
    <row r="847" spans="2:11" s="38" customFormat="1" ht="99" customHeight="1" outlineLevel="1">
      <c r="B847" s="71" t="s">
        <v>906</v>
      </c>
      <c r="C847" s="132" t="s">
        <v>353</v>
      </c>
      <c r="D847" s="51" t="s">
        <v>75</v>
      </c>
      <c r="E847" s="112">
        <v>5.68</v>
      </c>
      <c r="F847" s="4"/>
      <c r="G847" s="59">
        <f t="shared" si="20"/>
        <v>0</v>
      </c>
      <c r="K847" s="93"/>
    </row>
    <row r="848" spans="2:11" s="38" customFormat="1" ht="105" customHeight="1" outlineLevel="1">
      <c r="B848" s="71" t="s">
        <v>907</v>
      </c>
      <c r="C848" s="132" t="s">
        <v>440</v>
      </c>
      <c r="D848" s="51" t="s">
        <v>84</v>
      </c>
      <c r="E848" s="112">
        <v>11.9</v>
      </c>
      <c r="F848" s="4"/>
      <c r="G848" s="59">
        <f t="shared" si="20"/>
        <v>0</v>
      </c>
      <c r="K848" s="93"/>
    </row>
    <row r="849" spans="2:11" s="38" customFormat="1" ht="102.75" customHeight="1" outlineLevel="1">
      <c r="B849" s="71" t="s">
        <v>908</v>
      </c>
      <c r="C849" s="132" t="s">
        <v>248</v>
      </c>
      <c r="D849" s="51" t="s">
        <v>84</v>
      </c>
      <c r="E849" s="112">
        <v>11</v>
      </c>
      <c r="F849" s="4"/>
      <c r="G849" s="59">
        <f t="shared" si="20"/>
        <v>0</v>
      </c>
      <c r="K849" s="93"/>
    </row>
    <row r="850" spans="2:11" s="38" customFormat="1" outlineLevel="1">
      <c r="B850" s="71"/>
      <c r="C850" s="50"/>
      <c r="D850" s="51"/>
      <c r="E850" s="112"/>
      <c r="F850" s="4"/>
      <c r="G850" s="59">
        <f t="shared" si="20"/>
        <v>0</v>
      </c>
      <c r="K850" s="93"/>
    </row>
    <row r="851" spans="2:11" s="38" customFormat="1">
      <c r="B851" s="71" t="s">
        <v>909</v>
      </c>
      <c r="C851" s="55" t="s">
        <v>123</v>
      </c>
      <c r="D851" s="56"/>
      <c r="E851" s="124">
        <v>0</v>
      </c>
      <c r="F851" s="4"/>
      <c r="G851" s="59">
        <f t="shared" si="20"/>
        <v>0</v>
      </c>
      <c r="K851" s="93"/>
    </row>
    <row r="852" spans="2:11" s="38" customFormat="1" ht="150" customHeight="1" outlineLevel="1">
      <c r="B852" s="71" t="s">
        <v>250</v>
      </c>
      <c r="C852" s="132" t="s">
        <v>361</v>
      </c>
      <c r="D852" s="51" t="s">
        <v>75</v>
      </c>
      <c r="E852" s="112">
        <v>6.15</v>
      </c>
      <c r="F852" s="4"/>
      <c r="G852" s="59">
        <f t="shared" si="20"/>
        <v>0</v>
      </c>
      <c r="K852" s="93"/>
    </row>
    <row r="853" spans="2:11" s="38" customFormat="1" ht="192" customHeight="1" outlineLevel="1">
      <c r="B853" s="71" t="s">
        <v>251</v>
      </c>
      <c r="C853" s="132" t="s">
        <v>363</v>
      </c>
      <c r="D853" s="51" t="s">
        <v>75</v>
      </c>
      <c r="E853" s="112">
        <v>5.68</v>
      </c>
      <c r="F853" s="4"/>
      <c r="G853" s="59">
        <f t="shared" si="20"/>
        <v>0</v>
      </c>
      <c r="K853" s="93"/>
    </row>
    <row r="854" spans="2:11" s="38" customFormat="1" ht="135" customHeight="1" outlineLevel="1">
      <c r="B854" s="71" t="s">
        <v>252</v>
      </c>
      <c r="C854" s="132" t="s">
        <v>365</v>
      </c>
      <c r="D854" s="51" t="s">
        <v>84</v>
      </c>
      <c r="E854" s="112">
        <v>3.85</v>
      </c>
      <c r="F854" s="4"/>
      <c r="G854" s="59">
        <f t="shared" si="20"/>
        <v>0</v>
      </c>
      <c r="K854" s="93"/>
    </row>
    <row r="855" spans="2:11" s="38" customFormat="1" ht="87.75" customHeight="1" outlineLevel="1">
      <c r="B855" s="71" t="s">
        <v>253</v>
      </c>
      <c r="C855" s="132" t="s">
        <v>254</v>
      </c>
      <c r="D855" s="51" t="s">
        <v>75</v>
      </c>
      <c r="E855" s="112">
        <v>8.33</v>
      </c>
      <c r="F855" s="4"/>
      <c r="G855" s="59">
        <f t="shared" si="20"/>
        <v>0</v>
      </c>
      <c r="K855" s="93"/>
    </row>
    <row r="856" spans="2:11" s="38" customFormat="1" ht="105" customHeight="1" outlineLevel="1">
      <c r="B856" s="71" t="s">
        <v>255</v>
      </c>
      <c r="C856" s="132" t="s">
        <v>452</v>
      </c>
      <c r="D856" s="51" t="s">
        <v>75</v>
      </c>
      <c r="E856" s="112">
        <v>6.15</v>
      </c>
      <c r="F856" s="4"/>
      <c r="G856" s="59">
        <f t="shared" si="20"/>
        <v>0</v>
      </c>
      <c r="K856" s="93"/>
    </row>
    <row r="857" spans="2:11" s="38" customFormat="1" ht="89.25" outlineLevel="1">
      <c r="B857" s="71" t="s">
        <v>257</v>
      </c>
      <c r="C857" s="132" t="s">
        <v>370</v>
      </c>
      <c r="D857" s="51" t="s">
        <v>75</v>
      </c>
      <c r="E857" s="112">
        <v>5.68</v>
      </c>
      <c r="F857" s="4"/>
      <c r="G857" s="59">
        <f t="shared" si="20"/>
        <v>0</v>
      </c>
      <c r="K857" s="93"/>
    </row>
    <row r="858" spans="2:11" s="38" customFormat="1" ht="81.75" customHeight="1" outlineLevel="1">
      <c r="B858" s="71" t="s">
        <v>259</v>
      </c>
      <c r="C858" s="132" t="s">
        <v>260</v>
      </c>
      <c r="D858" s="51" t="s">
        <v>75</v>
      </c>
      <c r="E858" s="112">
        <v>5.38</v>
      </c>
      <c r="F858" s="4"/>
      <c r="G858" s="59">
        <f t="shared" si="20"/>
        <v>0</v>
      </c>
      <c r="K858" s="93"/>
    </row>
    <row r="859" spans="2:11" s="38" customFormat="1" ht="62.25" customHeight="1" outlineLevel="1">
      <c r="B859" s="71" t="s">
        <v>261</v>
      </c>
      <c r="C859" s="132" t="s">
        <v>139</v>
      </c>
      <c r="D859" s="51" t="s">
        <v>140</v>
      </c>
      <c r="E859" s="112">
        <v>1</v>
      </c>
      <c r="F859" s="4"/>
      <c r="G859" s="59">
        <f t="shared" si="20"/>
        <v>0</v>
      </c>
      <c r="K859" s="93"/>
    </row>
    <row r="860" spans="2:11" s="38" customFormat="1" ht="105.75" customHeight="1" outlineLevel="1">
      <c r="B860" s="71" t="s">
        <v>262</v>
      </c>
      <c r="C860" s="132" t="s">
        <v>263</v>
      </c>
      <c r="D860" s="51" t="s">
        <v>84</v>
      </c>
      <c r="E860" s="112">
        <v>5.19</v>
      </c>
      <c r="F860" s="4"/>
      <c r="G860" s="59">
        <f t="shared" si="20"/>
        <v>0</v>
      </c>
      <c r="K860" s="93"/>
    </row>
    <row r="861" spans="2:11" s="38" customFormat="1" ht="92.25" customHeight="1" outlineLevel="1">
      <c r="B861" s="71" t="s">
        <v>264</v>
      </c>
      <c r="C861" s="132" t="s">
        <v>265</v>
      </c>
      <c r="D861" s="51" t="s">
        <v>84</v>
      </c>
      <c r="E861" s="112">
        <v>8.8000000000000007</v>
      </c>
      <c r="F861" s="4"/>
      <c r="G861" s="59">
        <f t="shared" si="20"/>
        <v>0</v>
      </c>
      <c r="K861" s="93"/>
    </row>
    <row r="862" spans="2:11" s="38" customFormat="1">
      <c r="B862" s="71" t="s">
        <v>910</v>
      </c>
      <c r="C862" s="55" t="s">
        <v>146</v>
      </c>
      <c r="D862" s="56"/>
      <c r="E862" s="124">
        <v>0</v>
      </c>
      <c r="F862" s="4"/>
      <c r="G862" s="59">
        <f t="shared" si="20"/>
        <v>0</v>
      </c>
      <c r="K862" s="93"/>
    </row>
    <row r="863" spans="2:11" s="38" customFormat="1" ht="176.25" customHeight="1" outlineLevel="1">
      <c r="B863" s="127" t="s">
        <v>911</v>
      </c>
      <c r="C863" s="130" t="s">
        <v>2637</v>
      </c>
      <c r="D863" s="51" t="s">
        <v>140</v>
      </c>
      <c r="E863" s="112">
        <v>1</v>
      </c>
      <c r="F863" s="4"/>
      <c r="G863" s="59">
        <f t="shared" si="20"/>
        <v>0</v>
      </c>
      <c r="K863" s="93"/>
    </row>
    <row r="864" spans="2:11" s="38" customFormat="1" ht="198.75" customHeight="1" outlineLevel="1">
      <c r="B864" s="127" t="s">
        <v>912</v>
      </c>
      <c r="C864" s="130" t="s">
        <v>269</v>
      </c>
      <c r="D864" s="51" t="s">
        <v>140</v>
      </c>
      <c r="E864" s="112">
        <v>1</v>
      </c>
      <c r="F864" s="4"/>
      <c r="G864" s="59">
        <f t="shared" si="20"/>
        <v>0</v>
      </c>
      <c r="K864" s="93"/>
    </row>
    <row r="865" spans="2:11" s="38" customFormat="1">
      <c r="B865" s="71" t="s">
        <v>913</v>
      </c>
      <c r="C865" s="55" t="s">
        <v>151</v>
      </c>
      <c r="D865" s="56"/>
      <c r="E865" s="124">
        <v>0</v>
      </c>
      <c r="F865" s="4"/>
      <c r="G865" s="59">
        <f t="shared" si="20"/>
        <v>0</v>
      </c>
      <c r="K865" s="93"/>
    </row>
    <row r="866" spans="2:11" s="38" customFormat="1" ht="58.5" customHeight="1" outlineLevel="1">
      <c r="B866" s="71" t="s">
        <v>914</v>
      </c>
      <c r="C866" s="132" t="s">
        <v>153</v>
      </c>
      <c r="D866" s="51" t="s">
        <v>140</v>
      </c>
      <c r="E866" s="112">
        <v>1</v>
      </c>
      <c r="F866" s="13"/>
      <c r="G866" s="59">
        <f t="shared" si="20"/>
        <v>0</v>
      </c>
      <c r="K866" s="93"/>
    </row>
    <row r="867" spans="2:11" s="38" customFormat="1" ht="51" outlineLevel="1">
      <c r="B867" s="71" t="s">
        <v>915</v>
      </c>
      <c r="C867" s="132" t="s">
        <v>155</v>
      </c>
      <c r="D867" s="51" t="s">
        <v>140</v>
      </c>
      <c r="E867" s="112">
        <v>1</v>
      </c>
      <c r="F867" s="13"/>
      <c r="G867" s="59">
        <f t="shared" si="20"/>
        <v>0</v>
      </c>
      <c r="K867" s="93"/>
    </row>
    <row r="868" spans="2:11" s="38" customFormat="1">
      <c r="B868" s="71" t="s">
        <v>916</v>
      </c>
      <c r="C868" s="55" t="s">
        <v>157</v>
      </c>
      <c r="D868" s="56"/>
      <c r="E868" s="124">
        <v>0</v>
      </c>
      <c r="F868" s="4">
        <v>0</v>
      </c>
      <c r="G868" s="59">
        <f t="shared" si="20"/>
        <v>0</v>
      </c>
      <c r="K868" s="93"/>
    </row>
    <row r="869" spans="2:11" s="38" customFormat="1" ht="51" outlineLevel="1">
      <c r="B869" s="98"/>
      <c r="C869" s="132" t="s">
        <v>158</v>
      </c>
      <c r="D869" s="51"/>
      <c r="E869" s="112"/>
      <c r="F869" s="4"/>
      <c r="G869" s="59">
        <f t="shared" si="20"/>
        <v>0</v>
      </c>
      <c r="K869" s="93"/>
    </row>
    <row r="870" spans="2:11" s="38" customFormat="1" ht="51" outlineLevel="1">
      <c r="B870" s="71" t="s">
        <v>917</v>
      </c>
      <c r="C870" s="132" t="s">
        <v>160</v>
      </c>
      <c r="D870" s="51" t="s">
        <v>140</v>
      </c>
      <c r="E870" s="112">
        <v>1</v>
      </c>
      <c r="F870" s="4"/>
      <c r="G870" s="59">
        <f t="shared" si="20"/>
        <v>0</v>
      </c>
      <c r="K870" s="100"/>
    </row>
    <row r="871" spans="2:11" s="38" customFormat="1" ht="38.25" outlineLevel="1">
      <c r="B871" s="71" t="s">
        <v>918</v>
      </c>
      <c r="C871" s="132" t="s">
        <v>162</v>
      </c>
      <c r="D871" s="51" t="s">
        <v>140</v>
      </c>
      <c r="E871" s="112">
        <v>1</v>
      </c>
      <c r="F871" s="4"/>
      <c r="G871" s="59">
        <f t="shared" si="20"/>
        <v>0</v>
      </c>
      <c r="K871" s="100"/>
    </row>
    <row r="872" spans="2:11" s="38" customFormat="1" ht="51" outlineLevel="1">
      <c r="B872" s="71" t="s">
        <v>919</v>
      </c>
      <c r="C872" s="132" t="s">
        <v>164</v>
      </c>
      <c r="D872" s="51" t="s">
        <v>140</v>
      </c>
      <c r="E872" s="112">
        <v>1</v>
      </c>
      <c r="F872" s="4"/>
      <c r="G872" s="59">
        <f t="shared" si="20"/>
        <v>0</v>
      </c>
      <c r="K872" s="100"/>
    </row>
    <row r="873" spans="2:11" s="38" customFormat="1" ht="153.75" customHeight="1" outlineLevel="1">
      <c r="B873" s="71" t="s">
        <v>920</v>
      </c>
      <c r="C873" s="132" t="s">
        <v>921</v>
      </c>
      <c r="D873" s="51" t="s">
        <v>140</v>
      </c>
      <c r="E873" s="112">
        <v>1</v>
      </c>
      <c r="F873" s="4"/>
      <c r="G873" s="59">
        <f t="shared" si="20"/>
        <v>0</v>
      </c>
      <c r="K873" s="100"/>
    </row>
    <row r="874" spans="2:11" s="38" customFormat="1" ht="112.5" customHeight="1" outlineLevel="1">
      <c r="B874" s="71" t="s">
        <v>922</v>
      </c>
      <c r="C874" s="132" t="s">
        <v>923</v>
      </c>
      <c r="D874" s="51" t="s">
        <v>140</v>
      </c>
      <c r="E874" s="112">
        <v>1</v>
      </c>
      <c r="F874" s="4"/>
      <c r="G874" s="59">
        <f t="shared" si="20"/>
        <v>0</v>
      </c>
      <c r="K874" s="100"/>
    </row>
    <row r="875" spans="2:11" s="38" customFormat="1" ht="61.5" customHeight="1" outlineLevel="1">
      <c r="B875" s="71" t="s">
        <v>924</v>
      </c>
      <c r="C875" s="132" t="s">
        <v>170</v>
      </c>
      <c r="D875" s="51" t="s">
        <v>140</v>
      </c>
      <c r="E875" s="112">
        <v>1</v>
      </c>
      <c r="F875" s="4"/>
      <c r="G875" s="59">
        <f t="shared" si="20"/>
        <v>0</v>
      </c>
      <c r="K875" s="100"/>
    </row>
    <row r="876" spans="2:11" s="38" customFormat="1" ht="66" customHeight="1" outlineLevel="1">
      <c r="B876" s="71" t="s">
        <v>925</v>
      </c>
      <c r="C876" s="132" t="s">
        <v>172</v>
      </c>
      <c r="D876" s="51" t="s">
        <v>140</v>
      </c>
      <c r="E876" s="112">
        <v>1</v>
      </c>
      <c r="F876" s="4"/>
      <c r="G876" s="59">
        <f t="shared" si="20"/>
        <v>0</v>
      </c>
      <c r="K876" s="100"/>
    </row>
    <row r="877" spans="2:11" s="38" customFormat="1" ht="51" outlineLevel="1">
      <c r="B877" s="71" t="s">
        <v>926</v>
      </c>
      <c r="C877" s="132" t="s">
        <v>174</v>
      </c>
      <c r="D877" s="51" t="s">
        <v>140</v>
      </c>
      <c r="E877" s="112">
        <v>1</v>
      </c>
      <c r="F877" s="4"/>
      <c r="G877" s="59">
        <f t="shared" si="20"/>
        <v>0</v>
      </c>
      <c r="K877" s="100"/>
    </row>
    <row r="878" spans="2:11" s="38" customFormat="1" ht="51" outlineLevel="1">
      <c r="B878" s="71" t="s">
        <v>927</v>
      </c>
      <c r="C878" s="132" t="s">
        <v>2638</v>
      </c>
      <c r="D878" s="51" t="s">
        <v>140</v>
      </c>
      <c r="E878" s="112">
        <v>1</v>
      </c>
      <c r="F878" s="4"/>
      <c r="G878" s="59">
        <f t="shared" si="20"/>
        <v>0</v>
      </c>
      <c r="K878" s="100"/>
    </row>
    <row r="879" spans="2:11" s="38" customFormat="1" ht="51" outlineLevel="1">
      <c r="B879" s="71" t="s">
        <v>928</v>
      </c>
      <c r="C879" s="132" t="s">
        <v>177</v>
      </c>
      <c r="D879" s="51" t="s">
        <v>140</v>
      </c>
      <c r="E879" s="112">
        <v>1</v>
      </c>
      <c r="F879" s="4"/>
      <c r="G879" s="59">
        <f t="shared" si="20"/>
        <v>0</v>
      </c>
      <c r="K879" s="100"/>
    </row>
    <row r="880" spans="2:11" s="38" customFormat="1" ht="63.75" outlineLevel="1">
      <c r="B880" s="71" t="s">
        <v>929</v>
      </c>
      <c r="C880" s="132" t="s">
        <v>179</v>
      </c>
      <c r="D880" s="51" t="s">
        <v>140</v>
      </c>
      <c r="E880" s="112">
        <v>1</v>
      </c>
      <c r="F880" s="4"/>
      <c r="G880" s="59">
        <f t="shared" si="20"/>
        <v>0</v>
      </c>
      <c r="K880" s="100"/>
    </row>
    <row r="881" spans="2:11" s="38" customFormat="1" ht="51" outlineLevel="1">
      <c r="B881" s="71" t="s">
        <v>930</v>
      </c>
      <c r="C881" s="132" t="s">
        <v>181</v>
      </c>
      <c r="D881" s="51" t="s">
        <v>140</v>
      </c>
      <c r="E881" s="112">
        <v>1</v>
      </c>
      <c r="F881" s="4"/>
      <c r="G881" s="59">
        <f t="shared" si="20"/>
        <v>0</v>
      </c>
      <c r="K881" s="100"/>
    </row>
    <row r="882" spans="2:11" s="38" customFormat="1" ht="25.5" outlineLevel="1">
      <c r="B882" s="71" t="s">
        <v>931</v>
      </c>
      <c r="C882" s="132" t="s">
        <v>183</v>
      </c>
      <c r="D882" s="51" t="s">
        <v>140</v>
      </c>
      <c r="E882" s="112">
        <v>1</v>
      </c>
      <c r="F882" s="4"/>
      <c r="G882" s="59">
        <f t="shared" si="20"/>
        <v>0</v>
      </c>
      <c r="K882" s="100"/>
    </row>
    <row r="883" spans="2:11" s="38" customFormat="1" ht="38.25" outlineLevel="1">
      <c r="B883" s="71" t="s">
        <v>932</v>
      </c>
      <c r="C883" s="132" t="s">
        <v>185</v>
      </c>
      <c r="D883" s="51" t="s">
        <v>140</v>
      </c>
      <c r="E883" s="112">
        <v>2</v>
      </c>
      <c r="F883" s="4">
        <v>0</v>
      </c>
      <c r="G883" s="59">
        <f t="shared" si="20"/>
        <v>0</v>
      </c>
      <c r="K883" s="100"/>
    </row>
    <row r="884" spans="2:11" s="38" customFormat="1" ht="38.25" outlineLevel="1">
      <c r="B884" s="71" t="s">
        <v>933</v>
      </c>
      <c r="C884" s="132" t="s">
        <v>187</v>
      </c>
      <c r="D884" s="51" t="s">
        <v>140</v>
      </c>
      <c r="E884" s="112">
        <v>1</v>
      </c>
      <c r="F884" s="4">
        <v>0</v>
      </c>
      <c r="G884" s="59">
        <f t="shared" ref="G884:G892" si="21">E884*F884</f>
        <v>0</v>
      </c>
      <c r="K884" s="100"/>
    </row>
    <row r="885" spans="2:11" s="38" customFormat="1" ht="38.25" outlineLevel="1">
      <c r="B885" s="71" t="s">
        <v>934</v>
      </c>
      <c r="C885" s="132" t="s">
        <v>189</v>
      </c>
      <c r="D885" s="51" t="s">
        <v>140</v>
      </c>
      <c r="E885" s="112">
        <v>2</v>
      </c>
      <c r="F885" s="4">
        <v>0</v>
      </c>
      <c r="G885" s="59">
        <f t="shared" si="21"/>
        <v>0</v>
      </c>
      <c r="K885" s="100"/>
    </row>
    <row r="886" spans="2:11" s="38" customFormat="1" ht="25.5" outlineLevel="1">
      <c r="B886" s="71" t="s">
        <v>935</v>
      </c>
      <c r="C886" s="132" t="s">
        <v>191</v>
      </c>
      <c r="D886" s="51" t="s">
        <v>140</v>
      </c>
      <c r="E886" s="112">
        <v>1</v>
      </c>
      <c r="F886" s="4">
        <v>0</v>
      </c>
      <c r="G886" s="59">
        <f t="shared" si="21"/>
        <v>0</v>
      </c>
      <c r="K886" s="100"/>
    </row>
    <row r="887" spans="2:11" s="38" customFormat="1" ht="51" outlineLevel="1">
      <c r="B887" s="71" t="s">
        <v>936</v>
      </c>
      <c r="C887" s="132" t="s">
        <v>193</v>
      </c>
      <c r="D887" s="51" t="s">
        <v>140</v>
      </c>
      <c r="E887" s="112">
        <v>1</v>
      </c>
      <c r="F887" s="4"/>
      <c r="G887" s="59">
        <f t="shared" si="21"/>
        <v>0</v>
      </c>
      <c r="K887" s="100"/>
    </row>
    <row r="888" spans="2:11" s="38" customFormat="1" ht="174.75" customHeight="1" outlineLevel="1">
      <c r="B888" s="71" t="s">
        <v>937</v>
      </c>
      <c r="C888" s="132" t="s">
        <v>195</v>
      </c>
      <c r="D888" s="51" t="s">
        <v>140</v>
      </c>
      <c r="E888" s="112">
        <v>1</v>
      </c>
      <c r="F888" s="4">
        <v>0</v>
      </c>
      <c r="G888" s="59">
        <f t="shared" si="21"/>
        <v>0</v>
      </c>
      <c r="K888" s="100"/>
    </row>
    <row r="889" spans="2:11" s="38" customFormat="1" ht="75.75" customHeight="1" outlineLevel="1">
      <c r="B889" s="71" t="s">
        <v>938</v>
      </c>
      <c r="C889" s="132" t="s">
        <v>197</v>
      </c>
      <c r="D889" s="51" t="s">
        <v>140</v>
      </c>
      <c r="E889" s="112">
        <v>1</v>
      </c>
      <c r="F889" s="4"/>
      <c r="G889" s="59">
        <f t="shared" si="21"/>
        <v>0</v>
      </c>
      <c r="K889" s="100"/>
    </row>
    <row r="890" spans="2:11" s="38" customFormat="1" ht="123" customHeight="1" outlineLevel="1">
      <c r="B890" s="71" t="s">
        <v>939</v>
      </c>
      <c r="C890" s="132" t="s">
        <v>2630</v>
      </c>
      <c r="D890" s="51" t="s">
        <v>140</v>
      </c>
      <c r="E890" s="112">
        <v>1</v>
      </c>
      <c r="F890" s="4"/>
      <c r="G890" s="59">
        <f t="shared" si="21"/>
        <v>0</v>
      </c>
      <c r="K890" s="93"/>
    </row>
    <row r="891" spans="2:11" s="38" customFormat="1" ht="106.5" customHeight="1" outlineLevel="1">
      <c r="B891" s="71" t="s">
        <v>940</v>
      </c>
      <c r="C891" s="132" t="s">
        <v>941</v>
      </c>
      <c r="D891" s="51" t="s">
        <v>140</v>
      </c>
      <c r="E891" s="112">
        <v>1</v>
      </c>
      <c r="F891" s="4"/>
      <c r="G891" s="59">
        <f t="shared" si="21"/>
        <v>0</v>
      </c>
      <c r="K891" s="93"/>
    </row>
    <row r="892" spans="2:11" s="38" customFormat="1">
      <c r="B892" s="71" t="s">
        <v>942</v>
      </c>
      <c r="C892" s="55" t="s">
        <v>202</v>
      </c>
      <c r="D892" s="56"/>
      <c r="E892" s="124">
        <v>0</v>
      </c>
      <c r="F892" s="4"/>
      <c r="G892" s="59">
        <f t="shared" si="21"/>
        <v>0</v>
      </c>
      <c r="K892" s="100"/>
    </row>
    <row r="893" spans="2:11" s="38" customFormat="1" ht="63.75" outlineLevel="1">
      <c r="B893" s="71" t="s">
        <v>943</v>
      </c>
      <c r="C893" s="132" t="s">
        <v>314</v>
      </c>
      <c r="D893" s="51" t="s">
        <v>84</v>
      </c>
      <c r="E893" s="112">
        <v>3</v>
      </c>
      <c r="F893" s="4"/>
      <c r="G893" s="59">
        <f>E893*F893</f>
        <v>0</v>
      </c>
      <c r="K893" s="100"/>
    </row>
    <row r="894" spans="2:11" s="38" customFormat="1">
      <c r="B894" s="71"/>
      <c r="C894" s="55"/>
      <c r="D894" s="56"/>
      <c r="E894" s="124"/>
      <c r="F894" s="4"/>
      <c r="G894" s="4"/>
      <c r="K894" s="100"/>
    </row>
    <row r="895" spans="2:11" s="38" customFormat="1">
      <c r="B895" s="72" t="s">
        <v>944</v>
      </c>
      <c r="C895" s="52"/>
      <c r="D895" s="15"/>
      <c r="E895" s="122"/>
      <c r="F895" s="54"/>
      <c r="G895" s="58">
        <f>SUM(G820:G893)</f>
        <v>0</v>
      </c>
      <c r="K895" s="93"/>
    </row>
    <row r="896" spans="2:11" s="38" customFormat="1" outlineLevel="1">
      <c r="B896" s="71"/>
      <c r="C896" s="50"/>
      <c r="D896" s="51"/>
      <c r="E896" s="112"/>
      <c r="F896" s="4"/>
      <c r="G896" s="59"/>
      <c r="K896" s="100"/>
    </row>
    <row r="897" spans="2:11" s="38" customFormat="1">
      <c r="B897" s="114" t="s">
        <v>945</v>
      </c>
      <c r="C897" s="52"/>
      <c r="D897" s="15"/>
      <c r="E897" s="122"/>
      <c r="F897" s="54"/>
      <c r="G897" s="58"/>
      <c r="K897" s="93"/>
    </row>
    <row r="898" spans="2:11" s="38" customFormat="1" ht="38.25">
      <c r="B898" s="116"/>
      <c r="C898" s="55" t="s">
        <v>207</v>
      </c>
      <c r="D898" s="11" t="s">
        <v>140</v>
      </c>
      <c r="E898" s="121">
        <v>6</v>
      </c>
      <c r="F898" s="13"/>
      <c r="G898" s="113">
        <f>G895*E898</f>
        <v>0</v>
      </c>
      <c r="K898" s="93"/>
    </row>
    <row r="899" spans="2:11" s="38" customFormat="1" outlineLevel="1">
      <c r="B899" s="71"/>
      <c r="C899" s="50"/>
      <c r="D899" s="51"/>
      <c r="E899" s="112"/>
      <c r="F899" s="4"/>
      <c r="G899" s="59"/>
      <c r="K899" s="100"/>
    </row>
    <row r="900" spans="2:11" s="38" customFormat="1">
      <c r="B900" s="135">
        <v>3.11</v>
      </c>
      <c r="C900" s="70" t="s">
        <v>946</v>
      </c>
      <c r="D900" s="49"/>
      <c r="E900" s="123">
        <v>0</v>
      </c>
      <c r="F900" s="54">
        <v>0</v>
      </c>
      <c r="G900" s="58"/>
      <c r="K900" s="93"/>
    </row>
    <row r="901" spans="2:11" s="38" customFormat="1">
      <c r="B901" s="116"/>
      <c r="C901" s="55"/>
      <c r="D901" s="56"/>
      <c r="E901" s="124"/>
      <c r="F901" s="13"/>
      <c r="G901" s="113"/>
      <c r="K901" s="93"/>
    </row>
    <row r="902" spans="2:11" s="38" customFormat="1" ht="45" customHeight="1">
      <c r="B902" s="116"/>
      <c r="C902" s="50" t="s">
        <v>60</v>
      </c>
      <c r="D902" s="56"/>
      <c r="E902" s="124"/>
      <c r="F902" s="13"/>
      <c r="G902" s="59">
        <f t="shared" ref="G902:G965" si="22">E902*F902</f>
        <v>0</v>
      </c>
      <c r="K902" s="93"/>
    </row>
    <row r="903" spans="2:11" s="38" customFormat="1">
      <c r="B903" s="116"/>
      <c r="C903" s="55"/>
      <c r="D903" s="56"/>
      <c r="E903" s="124"/>
      <c r="F903" s="13"/>
      <c r="G903" s="59">
        <f t="shared" si="22"/>
        <v>0</v>
      </c>
      <c r="K903" s="93"/>
    </row>
    <row r="904" spans="2:11" s="38" customFormat="1">
      <c r="B904" s="71" t="s">
        <v>947</v>
      </c>
      <c r="C904" s="55" t="s">
        <v>62</v>
      </c>
      <c r="D904" s="56"/>
      <c r="E904" s="124">
        <v>0</v>
      </c>
      <c r="F904" s="13">
        <v>0</v>
      </c>
      <c r="G904" s="59">
        <f t="shared" si="22"/>
        <v>0</v>
      </c>
      <c r="K904" s="93"/>
    </row>
    <row r="905" spans="2:11" s="38" customFormat="1" ht="203.25" customHeight="1" outlineLevel="1">
      <c r="B905" s="71" t="s">
        <v>948</v>
      </c>
      <c r="C905" s="132" t="s">
        <v>64</v>
      </c>
      <c r="D905" s="51" t="s">
        <v>38</v>
      </c>
      <c r="E905" s="112">
        <v>1</v>
      </c>
      <c r="F905" s="4"/>
      <c r="G905" s="59">
        <f t="shared" si="22"/>
        <v>0</v>
      </c>
      <c r="K905" s="93"/>
    </row>
    <row r="906" spans="2:11" s="38" customFormat="1">
      <c r="B906" s="71" t="s">
        <v>949</v>
      </c>
      <c r="C906" s="55" t="s">
        <v>66</v>
      </c>
      <c r="D906" s="56"/>
      <c r="E906" s="124">
        <v>0</v>
      </c>
      <c r="F906" s="13"/>
      <c r="G906" s="59">
        <f t="shared" si="22"/>
        <v>0</v>
      </c>
      <c r="K906" s="93"/>
    </row>
    <row r="907" spans="2:11" s="38" customFormat="1" ht="49.5" customHeight="1" outlineLevel="1">
      <c r="B907" s="71" t="s">
        <v>950</v>
      </c>
      <c r="C907" s="132" t="s">
        <v>68</v>
      </c>
      <c r="D907" s="51" t="s">
        <v>38</v>
      </c>
      <c r="E907" s="112">
        <v>1</v>
      </c>
      <c r="F907" s="4"/>
      <c r="G907" s="59">
        <f t="shared" si="22"/>
        <v>0</v>
      </c>
      <c r="K907" s="100"/>
    </row>
    <row r="908" spans="2:11" s="38" customFormat="1" ht="74.25" customHeight="1" outlineLevel="1">
      <c r="B908" s="71" t="s">
        <v>951</v>
      </c>
      <c r="C908" s="132" t="s">
        <v>70</v>
      </c>
      <c r="D908" s="51" t="s">
        <v>38</v>
      </c>
      <c r="E908" s="112">
        <v>1</v>
      </c>
      <c r="F908" s="4"/>
      <c r="G908" s="59">
        <f t="shared" si="22"/>
        <v>0</v>
      </c>
      <c r="K908" s="100"/>
    </row>
    <row r="909" spans="2:11" s="38" customFormat="1">
      <c r="B909" s="71" t="s">
        <v>952</v>
      </c>
      <c r="C909" s="55" t="s">
        <v>72</v>
      </c>
      <c r="D909" s="56"/>
      <c r="E909" s="124">
        <v>0</v>
      </c>
      <c r="F909" s="4">
        <v>0</v>
      </c>
      <c r="G909" s="59">
        <f t="shared" si="22"/>
        <v>0</v>
      </c>
      <c r="K909" s="93"/>
    </row>
    <row r="910" spans="2:11" s="38" customFormat="1" ht="116.25" customHeight="1" outlineLevel="1">
      <c r="B910" s="71" t="s">
        <v>953</v>
      </c>
      <c r="C910" s="132" t="s">
        <v>324</v>
      </c>
      <c r="D910" s="51" t="s">
        <v>75</v>
      </c>
      <c r="E910" s="112">
        <v>25.58</v>
      </c>
      <c r="F910" s="4"/>
      <c r="G910" s="59">
        <f t="shared" si="22"/>
        <v>0</v>
      </c>
      <c r="K910" s="93"/>
    </row>
    <row r="911" spans="2:11" s="38" customFormat="1" ht="90" customHeight="1" outlineLevel="1">
      <c r="B911" s="71" t="s">
        <v>954</v>
      </c>
      <c r="C911" s="132" t="s">
        <v>77</v>
      </c>
      <c r="D911" s="51" t="s">
        <v>75</v>
      </c>
      <c r="E911" s="112">
        <v>13.09</v>
      </c>
      <c r="F911" s="4"/>
      <c r="G911" s="59">
        <f t="shared" si="22"/>
        <v>0</v>
      </c>
      <c r="K911" s="93"/>
    </row>
    <row r="912" spans="2:11" s="38" customFormat="1" ht="84.75" customHeight="1" outlineLevel="1">
      <c r="B912" s="71" t="s">
        <v>955</v>
      </c>
      <c r="C912" s="132" t="s">
        <v>327</v>
      </c>
      <c r="D912" s="51" t="s">
        <v>75</v>
      </c>
      <c r="E912" s="112">
        <v>29.72</v>
      </c>
      <c r="F912" s="57"/>
      <c r="G912" s="59">
        <f t="shared" si="22"/>
        <v>0</v>
      </c>
      <c r="K912" s="93"/>
    </row>
    <row r="913" spans="2:11" s="38" customFormat="1" ht="105" customHeight="1" outlineLevel="1">
      <c r="B913" s="71" t="s">
        <v>956</v>
      </c>
      <c r="C913" s="132" t="s">
        <v>329</v>
      </c>
      <c r="D913" s="51" t="s">
        <v>75</v>
      </c>
      <c r="E913" s="112">
        <v>2.8</v>
      </c>
      <c r="F913" s="4"/>
      <c r="G913" s="59">
        <f t="shared" si="22"/>
        <v>0</v>
      </c>
      <c r="K913" s="93"/>
    </row>
    <row r="914" spans="2:11" s="38" customFormat="1" ht="69.75" customHeight="1" outlineLevel="1">
      <c r="B914" s="71" t="s">
        <v>957</v>
      </c>
      <c r="C914" s="132" t="s">
        <v>331</v>
      </c>
      <c r="D914" s="51" t="s">
        <v>84</v>
      </c>
      <c r="E914" s="112">
        <v>1.8</v>
      </c>
      <c r="F914" s="4"/>
      <c r="G914" s="59">
        <f t="shared" si="22"/>
        <v>0</v>
      </c>
      <c r="K914" s="93"/>
    </row>
    <row r="915" spans="2:11" s="38" customFormat="1" ht="46.5" customHeight="1" outlineLevel="1">
      <c r="B915" s="71" t="s">
        <v>958</v>
      </c>
      <c r="C915" s="132" t="s">
        <v>221</v>
      </c>
      <c r="D915" s="51" t="s">
        <v>84</v>
      </c>
      <c r="E915" s="112">
        <v>14.51</v>
      </c>
      <c r="F915" s="4"/>
      <c r="G915" s="59">
        <f t="shared" si="22"/>
        <v>0</v>
      </c>
      <c r="K915" s="93"/>
    </row>
    <row r="916" spans="2:11" s="38" customFormat="1" ht="45.75" customHeight="1" outlineLevel="1">
      <c r="B916" s="71" t="s">
        <v>959</v>
      </c>
      <c r="C916" s="132" t="s">
        <v>223</v>
      </c>
      <c r="D916" s="51" t="s">
        <v>84</v>
      </c>
      <c r="E916" s="112">
        <v>8.9499999999999993</v>
      </c>
      <c r="F916" s="4"/>
      <c r="G916" s="59">
        <f t="shared" si="22"/>
        <v>0</v>
      </c>
      <c r="K916" s="93"/>
    </row>
    <row r="917" spans="2:11" s="38" customFormat="1" ht="114.75" outlineLevel="1">
      <c r="B917" s="71" t="s">
        <v>960</v>
      </c>
      <c r="C917" s="130" t="s">
        <v>335</v>
      </c>
      <c r="D917" s="51" t="s">
        <v>91</v>
      </c>
      <c r="E917" s="112">
        <v>1</v>
      </c>
      <c r="F917" s="4"/>
      <c r="G917" s="59">
        <f t="shared" si="22"/>
        <v>0</v>
      </c>
      <c r="K917" s="93"/>
    </row>
    <row r="918" spans="2:11" s="38" customFormat="1">
      <c r="B918" s="71" t="s">
        <v>961</v>
      </c>
      <c r="C918" s="55" t="s">
        <v>93</v>
      </c>
      <c r="D918" s="56"/>
      <c r="E918" s="124">
        <v>0</v>
      </c>
      <c r="F918" s="4">
        <v>0</v>
      </c>
      <c r="G918" s="59">
        <f t="shared" si="22"/>
        <v>0</v>
      </c>
      <c r="K918" s="93"/>
    </row>
    <row r="919" spans="2:11" s="38" customFormat="1" ht="83.25" customHeight="1" outlineLevel="1">
      <c r="B919" s="71" t="s">
        <v>962</v>
      </c>
      <c r="C919" s="138" t="s">
        <v>97</v>
      </c>
      <c r="D919" s="51" t="s">
        <v>75</v>
      </c>
      <c r="E919" s="112">
        <v>29.21</v>
      </c>
      <c r="F919" s="4"/>
      <c r="G919" s="59">
        <f t="shared" si="22"/>
        <v>0</v>
      </c>
      <c r="K919" s="93"/>
    </row>
    <row r="920" spans="2:11" s="38" customFormat="1" ht="103.5" customHeight="1" outlineLevel="1">
      <c r="B920" s="71" t="s">
        <v>963</v>
      </c>
      <c r="C920" s="138" t="s">
        <v>99</v>
      </c>
      <c r="D920" s="51" t="s">
        <v>75</v>
      </c>
      <c r="E920" s="112">
        <v>63.06</v>
      </c>
      <c r="F920" s="4"/>
      <c r="G920" s="59">
        <f t="shared" si="22"/>
        <v>0</v>
      </c>
      <c r="K920" s="93"/>
    </row>
    <row r="921" spans="2:11" s="38" customFormat="1" ht="126.75" customHeight="1" outlineLevel="1">
      <c r="B921" s="71" t="s">
        <v>964</v>
      </c>
      <c r="C921" s="138" t="s">
        <v>340</v>
      </c>
      <c r="D921" s="51" t="s">
        <v>75</v>
      </c>
      <c r="E921" s="112">
        <v>0.56999999999999995</v>
      </c>
      <c r="F921" s="4"/>
      <c r="G921" s="59">
        <f t="shared" si="22"/>
        <v>0</v>
      </c>
      <c r="K921" s="93"/>
    </row>
    <row r="922" spans="2:11" s="38" customFormat="1" ht="103.5" customHeight="1" outlineLevel="1">
      <c r="B922" s="71" t="s">
        <v>899</v>
      </c>
      <c r="C922" s="132" t="s">
        <v>103</v>
      </c>
      <c r="D922" s="115"/>
      <c r="E922" s="112">
        <v>2.62</v>
      </c>
      <c r="G922" s="59">
        <f t="shared" si="22"/>
        <v>0</v>
      </c>
      <c r="K922" s="93"/>
    </row>
    <row r="923" spans="2:11" s="38" customFormat="1" ht="63.75" outlineLevel="1">
      <c r="B923" s="71" t="s">
        <v>965</v>
      </c>
      <c r="C923" s="132" t="s">
        <v>95</v>
      </c>
      <c r="D923" s="51" t="s">
        <v>75</v>
      </c>
      <c r="E923" s="112">
        <v>6.13</v>
      </c>
      <c r="F923" s="4"/>
      <c r="G923" s="59">
        <f t="shared" si="22"/>
        <v>0</v>
      </c>
      <c r="K923" s="93"/>
    </row>
    <row r="924" spans="2:11" s="38" customFormat="1" ht="196.5" customHeight="1" outlineLevel="1">
      <c r="B924" s="71" t="s">
        <v>966</v>
      </c>
      <c r="C924" s="130" t="s">
        <v>343</v>
      </c>
      <c r="D924" s="51" t="s">
        <v>75</v>
      </c>
      <c r="E924" s="112">
        <v>5.0999999999999996</v>
      </c>
      <c r="F924" s="4"/>
      <c r="G924" s="59">
        <f t="shared" si="22"/>
        <v>0</v>
      </c>
      <c r="K924" s="93"/>
    </row>
    <row r="925" spans="2:11" s="38" customFormat="1" ht="145.5" customHeight="1" outlineLevel="1">
      <c r="B925" s="71" t="s">
        <v>967</v>
      </c>
      <c r="C925" s="132" t="s">
        <v>234</v>
      </c>
      <c r="D925" s="51" t="s">
        <v>75</v>
      </c>
      <c r="E925" s="112">
        <v>10.4</v>
      </c>
      <c r="F925" s="4"/>
      <c r="G925" s="59">
        <f t="shared" si="22"/>
        <v>0</v>
      </c>
      <c r="K925" s="93"/>
    </row>
    <row r="926" spans="2:11" s="38" customFormat="1" ht="178.5" outlineLevel="1">
      <c r="B926" s="71" t="s">
        <v>968</v>
      </c>
      <c r="C926" s="130" t="s">
        <v>2617</v>
      </c>
      <c r="D926" s="51" t="s">
        <v>75</v>
      </c>
      <c r="E926" s="112">
        <v>3.32</v>
      </c>
      <c r="F926" s="4"/>
      <c r="G926" s="59">
        <f t="shared" si="22"/>
        <v>0</v>
      </c>
      <c r="K926" s="93"/>
    </row>
    <row r="927" spans="2:11" s="38" customFormat="1" ht="86.25" customHeight="1" outlineLevel="1">
      <c r="B927" s="71" t="s">
        <v>969</v>
      </c>
      <c r="C927" s="132" t="s">
        <v>435</v>
      </c>
      <c r="D927" s="51" t="s">
        <v>75</v>
      </c>
      <c r="E927" s="112">
        <v>33.06</v>
      </c>
      <c r="F927" s="4"/>
      <c r="G927" s="59">
        <f t="shared" si="22"/>
        <v>0</v>
      </c>
      <c r="K927" s="93"/>
    </row>
    <row r="928" spans="2:11" s="38" customFormat="1" ht="90" customHeight="1" outlineLevel="1">
      <c r="B928" s="71" t="s">
        <v>970</v>
      </c>
      <c r="C928" s="132" t="s">
        <v>437</v>
      </c>
      <c r="D928" s="51" t="s">
        <v>75</v>
      </c>
      <c r="E928" s="112">
        <v>24.18</v>
      </c>
      <c r="F928" s="4"/>
      <c r="G928" s="59">
        <f t="shared" si="22"/>
        <v>0</v>
      </c>
      <c r="K928" s="93"/>
    </row>
    <row r="929" spans="2:11" s="38" customFormat="1" ht="99" customHeight="1" outlineLevel="1">
      <c r="B929" s="71" t="s">
        <v>971</v>
      </c>
      <c r="C929" s="132" t="s">
        <v>353</v>
      </c>
      <c r="D929" s="51" t="s">
        <v>75</v>
      </c>
      <c r="E929" s="112">
        <v>2.69</v>
      </c>
      <c r="F929" s="4"/>
      <c r="G929" s="59">
        <f t="shared" si="22"/>
        <v>0</v>
      </c>
      <c r="K929" s="93"/>
    </row>
    <row r="930" spans="2:11" s="38" customFormat="1" ht="105" customHeight="1" outlineLevel="1">
      <c r="B930" s="71" t="s">
        <v>972</v>
      </c>
      <c r="C930" s="132" t="s">
        <v>440</v>
      </c>
      <c r="D930" s="51" t="s">
        <v>84</v>
      </c>
      <c r="E930" s="112">
        <v>7.14</v>
      </c>
      <c r="F930" s="4"/>
      <c r="G930" s="59">
        <f t="shared" si="22"/>
        <v>0</v>
      </c>
      <c r="K930" s="93"/>
    </row>
    <row r="931" spans="2:11" s="38" customFormat="1" ht="106.5" customHeight="1" outlineLevel="1">
      <c r="B931" s="71" t="s">
        <v>973</v>
      </c>
      <c r="C931" s="132" t="s">
        <v>442</v>
      </c>
      <c r="D931" s="51" t="s">
        <v>84</v>
      </c>
      <c r="E931" s="112">
        <v>11</v>
      </c>
      <c r="F931" s="4"/>
      <c r="G931" s="59">
        <f t="shared" si="22"/>
        <v>0</v>
      </c>
      <c r="K931" s="93"/>
    </row>
    <row r="932" spans="2:11" s="38" customFormat="1" ht="102.75" customHeight="1" outlineLevel="1">
      <c r="B932" s="71" t="s">
        <v>974</v>
      </c>
      <c r="C932" s="132" t="s">
        <v>248</v>
      </c>
      <c r="D932" s="51" t="s">
        <v>84</v>
      </c>
      <c r="E932" s="112">
        <v>16.5</v>
      </c>
      <c r="F932" s="4"/>
      <c r="G932" s="59">
        <f t="shared" si="22"/>
        <v>0</v>
      </c>
      <c r="K932" s="93"/>
    </row>
    <row r="933" spans="2:11" s="38" customFormat="1" outlineLevel="1">
      <c r="B933" s="71"/>
      <c r="C933" s="50"/>
      <c r="D933" s="51"/>
      <c r="E933" s="112"/>
      <c r="F933" s="4"/>
      <c r="G933" s="59">
        <f t="shared" si="22"/>
        <v>0</v>
      </c>
      <c r="K933" s="93"/>
    </row>
    <row r="934" spans="2:11" s="38" customFormat="1">
      <c r="B934" s="71" t="s">
        <v>975</v>
      </c>
      <c r="C934" s="55" t="s">
        <v>123</v>
      </c>
      <c r="D934" s="56"/>
      <c r="E934" s="124">
        <v>0</v>
      </c>
      <c r="F934" s="4"/>
      <c r="G934" s="59">
        <f t="shared" si="22"/>
        <v>0</v>
      </c>
      <c r="K934" s="93"/>
    </row>
    <row r="935" spans="2:11" s="38" customFormat="1" ht="150" customHeight="1" outlineLevel="1">
      <c r="B935" s="71" t="s">
        <v>976</v>
      </c>
      <c r="C935" s="132" t="s">
        <v>361</v>
      </c>
      <c r="D935" s="51" t="s">
        <v>75</v>
      </c>
      <c r="E935" s="112">
        <v>4.7699999999999996</v>
      </c>
      <c r="F935" s="4"/>
      <c r="G935" s="59">
        <f t="shared" si="22"/>
        <v>0</v>
      </c>
      <c r="K935" s="93"/>
    </row>
    <row r="936" spans="2:11" s="38" customFormat="1" ht="192" customHeight="1" outlineLevel="1">
      <c r="B936" s="71" t="s">
        <v>977</v>
      </c>
      <c r="C936" s="132" t="s">
        <v>363</v>
      </c>
      <c r="D936" s="51" t="s">
        <v>75</v>
      </c>
      <c r="E936" s="112">
        <v>4.05</v>
      </c>
      <c r="F936" s="4"/>
      <c r="G936" s="59">
        <f t="shared" si="22"/>
        <v>0</v>
      </c>
      <c r="K936" s="93"/>
    </row>
    <row r="937" spans="2:11" s="38" customFormat="1" ht="135" customHeight="1" outlineLevel="1">
      <c r="B937" s="71" t="s">
        <v>978</v>
      </c>
      <c r="C937" s="132" t="s">
        <v>365</v>
      </c>
      <c r="D937" s="51" t="s">
        <v>84</v>
      </c>
      <c r="E937" s="112">
        <v>4.87</v>
      </c>
      <c r="F937" s="4"/>
      <c r="G937" s="59">
        <f t="shared" si="22"/>
        <v>0</v>
      </c>
      <c r="K937" s="93"/>
    </row>
    <row r="938" spans="2:11" s="38" customFormat="1" ht="87.75" customHeight="1" outlineLevel="1">
      <c r="B938" s="71" t="s">
        <v>979</v>
      </c>
      <c r="C938" s="132" t="s">
        <v>254</v>
      </c>
      <c r="D938" s="51" t="s">
        <v>75</v>
      </c>
      <c r="E938" s="112">
        <v>16.13</v>
      </c>
      <c r="F938" s="4"/>
      <c r="G938" s="59">
        <f t="shared" si="22"/>
        <v>0</v>
      </c>
      <c r="K938" s="93"/>
    </row>
    <row r="939" spans="2:11" s="38" customFormat="1" ht="105" customHeight="1" outlineLevel="1">
      <c r="B939" s="71" t="s">
        <v>980</v>
      </c>
      <c r="C939" s="132" t="s">
        <v>452</v>
      </c>
      <c r="D939" s="51" t="s">
        <v>75</v>
      </c>
      <c r="E939" s="112">
        <v>4.7699999999999996</v>
      </c>
      <c r="F939" s="4"/>
      <c r="G939" s="59">
        <f t="shared" si="22"/>
        <v>0</v>
      </c>
      <c r="K939" s="93"/>
    </row>
    <row r="940" spans="2:11" s="38" customFormat="1" ht="96.75" customHeight="1" outlineLevel="1">
      <c r="B940" s="71" t="s">
        <v>981</v>
      </c>
      <c r="C940" s="132" t="s">
        <v>370</v>
      </c>
      <c r="D940" s="51" t="s">
        <v>75</v>
      </c>
      <c r="E940" s="112">
        <v>4.05</v>
      </c>
      <c r="F940" s="4"/>
      <c r="G940" s="59">
        <f t="shared" si="22"/>
        <v>0</v>
      </c>
      <c r="K940" s="93"/>
    </row>
    <row r="941" spans="2:11" s="38" customFormat="1" ht="81.75" customHeight="1" outlineLevel="1">
      <c r="B941" s="71" t="s">
        <v>982</v>
      </c>
      <c r="C941" s="132" t="s">
        <v>260</v>
      </c>
      <c r="D941" s="51" t="s">
        <v>75</v>
      </c>
      <c r="E941" s="112">
        <v>4.57</v>
      </c>
      <c r="F941" s="4"/>
      <c r="G941" s="59">
        <f t="shared" si="22"/>
        <v>0</v>
      </c>
      <c r="K941" s="93"/>
    </row>
    <row r="942" spans="2:11" s="38" customFormat="1" ht="62.25" customHeight="1" outlineLevel="1">
      <c r="B942" s="71" t="s">
        <v>983</v>
      </c>
      <c r="C942" s="132" t="s">
        <v>139</v>
      </c>
      <c r="D942" s="51" t="s">
        <v>140</v>
      </c>
      <c r="E942" s="112">
        <v>1</v>
      </c>
      <c r="F942" s="4"/>
      <c r="G942" s="59">
        <f t="shared" si="22"/>
        <v>0</v>
      </c>
      <c r="K942" s="93"/>
    </row>
    <row r="943" spans="2:11" s="38" customFormat="1" ht="105.75" customHeight="1" outlineLevel="1">
      <c r="B943" s="71" t="s">
        <v>984</v>
      </c>
      <c r="C943" s="132" t="s">
        <v>263</v>
      </c>
      <c r="D943" s="51" t="s">
        <v>84</v>
      </c>
      <c r="E943" s="112">
        <v>5.7</v>
      </c>
      <c r="F943" s="4"/>
      <c r="G943" s="59">
        <f t="shared" si="22"/>
        <v>0</v>
      </c>
      <c r="K943" s="93"/>
    </row>
    <row r="944" spans="2:11" s="38" customFormat="1" ht="92.25" customHeight="1" outlineLevel="1">
      <c r="B944" s="71" t="s">
        <v>985</v>
      </c>
      <c r="C944" s="132" t="s">
        <v>265</v>
      </c>
      <c r="D944" s="51" t="s">
        <v>84</v>
      </c>
      <c r="E944" s="112">
        <v>8.5399999999999991</v>
      </c>
      <c r="F944" s="4"/>
      <c r="G944" s="59">
        <f t="shared" si="22"/>
        <v>0</v>
      </c>
      <c r="K944" s="93"/>
    </row>
    <row r="945" spans="2:11" s="38" customFormat="1">
      <c r="B945" s="71" t="s">
        <v>986</v>
      </c>
      <c r="C945" s="55" t="s">
        <v>146</v>
      </c>
      <c r="D945" s="56"/>
      <c r="E945" s="124">
        <v>0</v>
      </c>
      <c r="F945" s="4"/>
      <c r="G945" s="59">
        <f t="shared" si="22"/>
        <v>0</v>
      </c>
      <c r="K945" s="93"/>
    </row>
    <row r="946" spans="2:11" s="38" customFormat="1" ht="176.25" customHeight="1" outlineLevel="1">
      <c r="B946" s="127" t="s">
        <v>987</v>
      </c>
      <c r="C946" s="130" t="s">
        <v>2637</v>
      </c>
      <c r="D946" s="51" t="s">
        <v>140</v>
      </c>
      <c r="E946" s="112">
        <v>1</v>
      </c>
      <c r="F946" s="4"/>
      <c r="G946" s="59">
        <f t="shared" si="22"/>
        <v>0</v>
      </c>
      <c r="K946" s="93"/>
    </row>
    <row r="947" spans="2:11" s="38" customFormat="1" ht="198.75" customHeight="1" outlineLevel="1">
      <c r="B947" s="127" t="s">
        <v>912</v>
      </c>
      <c r="C947" s="130" t="s">
        <v>269</v>
      </c>
      <c r="D947" s="51" t="s">
        <v>140</v>
      </c>
      <c r="E947" s="112">
        <v>1</v>
      </c>
      <c r="F947" s="4"/>
      <c r="G947" s="59">
        <f t="shared" si="22"/>
        <v>0</v>
      </c>
      <c r="K947" s="93"/>
    </row>
    <row r="948" spans="2:11" s="38" customFormat="1">
      <c r="B948" s="71" t="s">
        <v>988</v>
      </c>
      <c r="C948" s="55" t="s">
        <v>151</v>
      </c>
      <c r="D948" s="56"/>
      <c r="E948" s="124">
        <v>0</v>
      </c>
      <c r="F948" s="4"/>
      <c r="G948" s="59">
        <f t="shared" si="22"/>
        <v>0</v>
      </c>
      <c r="K948" s="93"/>
    </row>
    <row r="949" spans="2:11" s="38" customFormat="1" ht="45" customHeight="1" outlineLevel="1">
      <c r="B949" s="71" t="s">
        <v>914</v>
      </c>
      <c r="C949" s="132" t="s">
        <v>153</v>
      </c>
      <c r="D949" s="51" t="s">
        <v>140</v>
      </c>
      <c r="E949" s="112">
        <v>1</v>
      </c>
      <c r="F949" s="13"/>
      <c r="G949" s="59">
        <f t="shared" si="22"/>
        <v>0</v>
      </c>
      <c r="K949" s="93"/>
    </row>
    <row r="950" spans="2:11" s="38" customFormat="1" ht="48.75" customHeight="1" outlineLevel="1">
      <c r="B950" s="71" t="s">
        <v>915</v>
      </c>
      <c r="C950" s="132" t="s">
        <v>155</v>
      </c>
      <c r="D950" s="51" t="s">
        <v>140</v>
      </c>
      <c r="E950" s="112">
        <v>1</v>
      </c>
      <c r="F950" s="13"/>
      <c r="G950" s="59">
        <f t="shared" si="22"/>
        <v>0</v>
      </c>
      <c r="K950" s="93"/>
    </row>
    <row r="951" spans="2:11" s="38" customFormat="1">
      <c r="B951" s="71" t="s">
        <v>989</v>
      </c>
      <c r="C951" s="55" t="s">
        <v>157</v>
      </c>
      <c r="D951" s="56"/>
      <c r="E951" s="124">
        <v>0</v>
      </c>
      <c r="F951" s="4">
        <v>0</v>
      </c>
      <c r="G951" s="59">
        <f t="shared" si="22"/>
        <v>0</v>
      </c>
      <c r="K951" s="93"/>
    </row>
    <row r="952" spans="2:11" s="38" customFormat="1" ht="52.5" customHeight="1" outlineLevel="1">
      <c r="B952" s="98"/>
      <c r="C952" s="50" t="s">
        <v>158</v>
      </c>
      <c r="D952" s="51"/>
      <c r="E952" s="112"/>
      <c r="F952" s="4"/>
      <c r="G952" s="59">
        <f t="shared" si="22"/>
        <v>0</v>
      </c>
      <c r="K952" s="93"/>
    </row>
    <row r="953" spans="2:11" s="38" customFormat="1" ht="44.25" customHeight="1" outlineLevel="1">
      <c r="B953" s="71" t="s">
        <v>990</v>
      </c>
      <c r="C953" s="132" t="s">
        <v>160</v>
      </c>
      <c r="D953" s="51" t="s">
        <v>140</v>
      </c>
      <c r="E953" s="112">
        <v>1</v>
      </c>
      <c r="F953" s="4"/>
      <c r="G953" s="59">
        <f t="shared" si="22"/>
        <v>0</v>
      </c>
      <c r="K953" s="100"/>
    </row>
    <row r="954" spans="2:11" s="38" customFormat="1" ht="50.25" customHeight="1" outlineLevel="1">
      <c r="B954" s="71" t="s">
        <v>991</v>
      </c>
      <c r="C954" s="132" t="s">
        <v>162</v>
      </c>
      <c r="D954" s="51" t="s">
        <v>140</v>
      </c>
      <c r="E954" s="112">
        <v>1</v>
      </c>
      <c r="F954" s="4"/>
      <c r="G954" s="59">
        <f t="shared" si="22"/>
        <v>0</v>
      </c>
      <c r="K954" s="100"/>
    </row>
    <row r="955" spans="2:11" s="38" customFormat="1" ht="48.75" customHeight="1" outlineLevel="1">
      <c r="B955" s="71" t="s">
        <v>992</v>
      </c>
      <c r="C955" s="132" t="s">
        <v>164</v>
      </c>
      <c r="D955" s="51" t="s">
        <v>140</v>
      </c>
      <c r="E955" s="112">
        <v>1</v>
      </c>
      <c r="F955" s="4"/>
      <c r="G955" s="59">
        <f t="shared" si="22"/>
        <v>0</v>
      </c>
      <c r="K955" s="100"/>
    </row>
    <row r="956" spans="2:11" s="38" customFormat="1" ht="163.5" customHeight="1" outlineLevel="1">
      <c r="B956" s="71" t="s">
        <v>993</v>
      </c>
      <c r="C956" s="132" t="s">
        <v>544</v>
      </c>
      <c r="D956" s="51" t="s">
        <v>140</v>
      </c>
      <c r="E956" s="112">
        <v>1</v>
      </c>
      <c r="F956" s="4"/>
      <c r="G956" s="59">
        <f t="shared" si="22"/>
        <v>0</v>
      </c>
      <c r="K956" s="100"/>
    </row>
    <row r="957" spans="2:11" s="38" customFormat="1" ht="105" customHeight="1" outlineLevel="1">
      <c r="B957" s="71" t="s">
        <v>994</v>
      </c>
      <c r="C957" s="132" t="s">
        <v>546</v>
      </c>
      <c r="D957" s="51" t="s">
        <v>140</v>
      </c>
      <c r="E957" s="112">
        <v>1</v>
      </c>
      <c r="F957" s="4"/>
      <c r="G957" s="59">
        <f t="shared" si="22"/>
        <v>0</v>
      </c>
      <c r="K957" s="100"/>
    </row>
    <row r="958" spans="2:11" s="38" customFormat="1" ht="59.25" customHeight="1" outlineLevel="1">
      <c r="B958" s="71" t="s">
        <v>995</v>
      </c>
      <c r="C958" s="132" t="s">
        <v>170</v>
      </c>
      <c r="D958" s="51" t="s">
        <v>140</v>
      </c>
      <c r="E958" s="112">
        <v>1</v>
      </c>
      <c r="F958" s="4"/>
      <c r="G958" s="59">
        <f t="shared" si="22"/>
        <v>0</v>
      </c>
      <c r="K958" s="100"/>
    </row>
    <row r="959" spans="2:11" s="38" customFormat="1" ht="60" customHeight="1" outlineLevel="1">
      <c r="B959" s="71" t="s">
        <v>996</v>
      </c>
      <c r="C959" s="132" t="s">
        <v>172</v>
      </c>
      <c r="D959" s="51" t="s">
        <v>140</v>
      </c>
      <c r="E959" s="112">
        <v>1</v>
      </c>
      <c r="F959" s="4"/>
      <c r="G959" s="59">
        <f t="shared" si="22"/>
        <v>0</v>
      </c>
      <c r="K959" s="100"/>
    </row>
    <row r="960" spans="2:11" s="38" customFormat="1" ht="51" outlineLevel="1">
      <c r="B960" s="71" t="s">
        <v>997</v>
      </c>
      <c r="C960" s="132" t="s">
        <v>174</v>
      </c>
      <c r="D960" s="51" t="s">
        <v>140</v>
      </c>
      <c r="E960" s="112">
        <v>1</v>
      </c>
      <c r="F960" s="4"/>
      <c r="G960" s="59">
        <f t="shared" si="22"/>
        <v>0</v>
      </c>
      <c r="K960" s="100"/>
    </row>
    <row r="961" spans="2:11" s="38" customFormat="1" ht="51" outlineLevel="1">
      <c r="B961" s="71" t="s">
        <v>998</v>
      </c>
      <c r="C961" s="132" t="s">
        <v>2638</v>
      </c>
      <c r="D961" s="51" t="s">
        <v>140</v>
      </c>
      <c r="E961" s="112">
        <v>1</v>
      </c>
      <c r="F961" s="4"/>
      <c r="G961" s="59">
        <f t="shared" si="22"/>
        <v>0</v>
      </c>
      <c r="K961" s="100"/>
    </row>
    <row r="962" spans="2:11" s="38" customFormat="1" ht="51" outlineLevel="1">
      <c r="B962" s="71" t="s">
        <v>999</v>
      </c>
      <c r="C962" s="132" t="s">
        <v>177</v>
      </c>
      <c r="D962" s="51" t="s">
        <v>140</v>
      </c>
      <c r="E962" s="112">
        <v>1</v>
      </c>
      <c r="F962" s="4"/>
      <c r="G962" s="59">
        <f t="shared" si="22"/>
        <v>0</v>
      </c>
      <c r="K962" s="100"/>
    </row>
    <row r="963" spans="2:11" s="38" customFormat="1" ht="77.25" customHeight="1" outlineLevel="1">
      <c r="B963" s="71" t="s">
        <v>1000</v>
      </c>
      <c r="C963" s="132" t="s">
        <v>179</v>
      </c>
      <c r="D963" s="51" t="s">
        <v>140</v>
      </c>
      <c r="E963" s="112">
        <v>1</v>
      </c>
      <c r="F963" s="4"/>
      <c r="G963" s="59">
        <f t="shared" si="22"/>
        <v>0</v>
      </c>
      <c r="K963" s="100"/>
    </row>
    <row r="964" spans="2:11" s="38" customFormat="1" ht="61.5" customHeight="1" outlineLevel="1">
      <c r="B964" s="71" t="s">
        <v>1001</v>
      </c>
      <c r="C964" s="132" t="s">
        <v>181</v>
      </c>
      <c r="D964" s="51" t="s">
        <v>140</v>
      </c>
      <c r="E964" s="112">
        <v>1</v>
      </c>
      <c r="F964" s="4"/>
      <c r="G964" s="59">
        <f t="shared" si="22"/>
        <v>0</v>
      </c>
      <c r="K964" s="100"/>
    </row>
    <row r="965" spans="2:11" s="38" customFormat="1" ht="25.5" outlineLevel="1">
      <c r="B965" s="71" t="s">
        <v>1002</v>
      </c>
      <c r="C965" s="132" t="s">
        <v>183</v>
      </c>
      <c r="D965" s="51" t="s">
        <v>140</v>
      </c>
      <c r="E965" s="112">
        <v>1</v>
      </c>
      <c r="F965" s="4"/>
      <c r="G965" s="59">
        <f t="shared" si="22"/>
        <v>0</v>
      </c>
      <c r="K965" s="100"/>
    </row>
    <row r="966" spans="2:11" s="38" customFormat="1" ht="60.75" customHeight="1" outlineLevel="1">
      <c r="B966" s="71" t="s">
        <v>1003</v>
      </c>
      <c r="C966" s="132" t="s">
        <v>185</v>
      </c>
      <c r="D966" s="51" t="s">
        <v>140</v>
      </c>
      <c r="E966" s="112">
        <v>2</v>
      </c>
      <c r="F966" s="4">
        <v>0</v>
      </c>
      <c r="G966" s="59">
        <f t="shared" ref="G966:G975" si="23">E966*F966</f>
        <v>0</v>
      </c>
      <c r="K966" s="100"/>
    </row>
    <row r="967" spans="2:11" s="38" customFormat="1" ht="38.25" outlineLevel="1">
      <c r="B967" s="71" t="s">
        <v>1004</v>
      </c>
      <c r="C967" s="132" t="s">
        <v>187</v>
      </c>
      <c r="D967" s="51" t="s">
        <v>140</v>
      </c>
      <c r="E967" s="112">
        <v>1</v>
      </c>
      <c r="F967" s="4">
        <v>0</v>
      </c>
      <c r="G967" s="59">
        <f t="shared" si="23"/>
        <v>0</v>
      </c>
      <c r="K967" s="100"/>
    </row>
    <row r="968" spans="2:11" s="38" customFormat="1" ht="38.25" outlineLevel="1">
      <c r="B968" s="71" t="s">
        <v>1005</v>
      </c>
      <c r="C968" s="132" t="s">
        <v>189</v>
      </c>
      <c r="D968" s="51" t="s">
        <v>140</v>
      </c>
      <c r="E968" s="112">
        <v>2</v>
      </c>
      <c r="F968" s="4">
        <v>0</v>
      </c>
      <c r="G968" s="59">
        <f t="shared" si="23"/>
        <v>0</v>
      </c>
      <c r="K968" s="100"/>
    </row>
    <row r="969" spans="2:11" s="38" customFormat="1" ht="25.5" outlineLevel="1">
      <c r="B969" s="71" t="s">
        <v>1006</v>
      </c>
      <c r="C969" s="132" t="s">
        <v>191</v>
      </c>
      <c r="D969" s="51" t="s">
        <v>140</v>
      </c>
      <c r="E969" s="112">
        <v>1</v>
      </c>
      <c r="F969" s="4">
        <v>0</v>
      </c>
      <c r="G969" s="59">
        <f t="shared" si="23"/>
        <v>0</v>
      </c>
      <c r="K969" s="100"/>
    </row>
    <row r="970" spans="2:11" s="38" customFormat="1" ht="57" customHeight="1" outlineLevel="1">
      <c r="B970" s="71" t="s">
        <v>1007</v>
      </c>
      <c r="C970" s="132" t="s">
        <v>193</v>
      </c>
      <c r="D970" s="51" t="s">
        <v>140</v>
      </c>
      <c r="E970" s="112">
        <v>1</v>
      </c>
      <c r="F970" s="4"/>
      <c r="G970" s="59">
        <f t="shared" si="23"/>
        <v>0</v>
      </c>
      <c r="K970" s="100"/>
    </row>
    <row r="971" spans="2:11" s="38" customFormat="1" ht="204.75" customHeight="1" outlineLevel="1">
      <c r="B971" s="71" t="s">
        <v>1008</v>
      </c>
      <c r="C971" s="132" t="s">
        <v>195</v>
      </c>
      <c r="D971" s="51" t="s">
        <v>140</v>
      </c>
      <c r="E971" s="112">
        <v>1</v>
      </c>
      <c r="F971" s="4">
        <v>0</v>
      </c>
      <c r="G971" s="59">
        <f t="shared" si="23"/>
        <v>0</v>
      </c>
      <c r="K971" s="100"/>
    </row>
    <row r="972" spans="2:11" s="38" customFormat="1" ht="75.75" customHeight="1" outlineLevel="1">
      <c r="B972" s="71" t="s">
        <v>1009</v>
      </c>
      <c r="C972" s="132" t="s">
        <v>197</v>
      </c>
      <c r="D972" s="51" t="s">
        <v>140</v>
      </c>
      <c r="E972" s="112">
        <v>1</v>
      </c>
      <c r="F972" s="4"/>
      <c r="G972" s="59">
        <f t="shared" si="23"/>
        <v>0</v>
      </c>
      <c r="K972" s="100"/>
    </row>
    <row r="973" spans="2:11" s="38" customFormat="1" ht="81.75" customHeight="1" outlineLevel="1">
      <c r="B973" s="71" t="s">
        <v>1010</v>
      </c>
      <c r="C973" s="132" t="s">
        <v>2631</v>
      </c>
      <c r="D973" s="51" t="s">
        <v>140</v>
      </c>
      <c r="E973" s="112">
        <v>1</v>
      </c>
      <c r="F973" s="4"/>
      <c r="G973" s="59">
        <f t="shared" si="23"/>
        <v>0</v>
      </c>
      <c r="K973" s="93"/>
    </row>
    <row r="974" spans="2:11" s="38" customFormat="1" ht="106.5" customHeight="1" outlineLevel="1">
      <c r="B974" s="71" t="s">
        <v>1011</v>
      </c>
      <c r="C974" s="132" t="s">
        <v>1012</v>
      </c>
      <c r="D974" s="51" t="s">
        <v>140</v>
      </c>
      <c r="E974" s="112">
        <v>1</v>
      </c>
      <c r="F974" s="4"/>
      <c r="G974" s="59">
        <f t="shared" si="23"/>
        <v>0</v>
      </c>
      <c r="K974" s="93"/>
    </row>
    <row r="975" spans="2:11" s="38" customFormat="1">
      <c r="B975" s="71" t="s">
        <v>1013</v>
      </c>
      <c r="C975" s="55" t="s">
        <v>202</v>
      </c>
      <c r="D975" s="56"/>
      <c r="E975" s="124">
        <v>0</v>
      </c>
      <c r="F975" s="4"/>
      <c r="G975" s="59">
        <f t="shared" si="23"/>
        <v>0</v>
      </c>
      <c r="K975" s="100"/>
    </row>
    <row r="976" spans="2:11" s="38" customFormat="1" ht="63.75" outlineLevel="1">
      <c r="B976" s="71" t="s">
        <v>1014</v>
      </c>
      <c r="C976" s="132" t="s">
        <v>314</v>
      </c>
      <c r="D976" s="51" t="s">
        <v>84</v>
      </c>
      <c r="E976" s="112">
        <v>3.18</v>
      </c>
      <c r="F976" s="4"/>
      <c r="G976" s="59">
        <f>E976*F976</f>
        <v>0</v>
      </c>
      <c r="K976" s="100"/>
    </row>
    <row r="977" spans="2:11" s="38" customFormat="1">
      <c r="B977" s="71"/>
      <c r="C977" s="55"/>
      <c r="D977" s="56"/>
      <c r="E977" s="124"/>
      <c r="F977" s="4"/>
      <c r="G977" s="4"/>
      <c r="K977" s="100"/>
    </row>
    <row r="978" spans="2:11" s="38" customFormat="1">
      <c r="B978" s="72" t="s">
        <v>1015</v>
      </c>
      <c r="C978" s="52"/>
      <c r="D978" s="15"/>
      <c r="E978" s="122"/>
      <c r="F978" s="54"/>
      <c r="G978" s="58">
        <f>SUM(G902:G976)</f>
        <v>0</v>
      </c>
      <c r="K978" s="93"/>
    </row>
    <row r="979" spans="2:11" s="38" customFormat="1" outlineLevel="1">
      <c r="B979" s="71"/>
      <c r="C979" s="50"/>
      <c r="D979" s="51"/>
      <c r="E979" s="112"/>
      <c r="F979" s="4"/>
      <c r="G979" s="59"/>
      <c r="K979" s="100"/>
    </row>
    <row r="980" spans="2:11" s="38" customFormat="1">
      <c r="B980" s="114" t="s">
        <v>1016</v>
      </c>
      <c r="C980" s="52"/>
      <c r="D980" s="15"/>
      <c r="E980" s="122"/>
      <c r="F980" s="54"/>
      <c r="G980" s="58"/>
      <c r="K980" s="93"/>
    </row>
    <row r="981" spans="2:11" s="38" customFormat="1" ht="46.5" customHeight="1">
      <c r="B981" s="116"/>
      <c r="C981" s="55" t="s">
        <v>207</v>
      </c>
      <c r="D981" s="11" t="s">
        <v>140</v>
      </c>
      <c r="E981" s="121">
        <v>6</v>
      </c>
      <c r="F981" s="13"/>
      <c r="G981" s="113">
        <f>G978*E981</f>
        <v>0</v>
      </c>
      <c r="K981" s="93"/>
    </row>
    <row r="982" spans="2:11" s="38" customFormat="1" outlineLevel="1">
      <c r="B982" s="71"/>
      <c r="C982" s="50"/>
      <c r="D982" s="51"/>
      <c r="E982" s="112"/>
      <c r="F982" s="4"/>
      <c r="G982" s="59"/>
      <c r="K982" s="100"/>
    </row>
    <row r="983" spans="2:11" s="38" customFormat="1">
      <c r="B983" s="72">
        <v>3.12</v>
      </c>
      <c r="C983" s="70" t="s">
        <v>1017</v>
      </c>
      <c r="D983" s="49"/>
      <c r="E983" s="123">
        <v>0</v>
      </c>
      <c r="F983" s="54">
        <v>0</v>
      </c>
      <c r="G983" s="58"/>
      <c r="K983" s="93"/>
    </row>
    <row r="984" spans="2:11" s="38" customFormat="1">
      <c r="B984" s="116"/>
      <c r="C984" s="55"/>
      <c r="D984" s="56"/>
      <c r="E984" s="124"/>
      <c r="F984" s="13"/>
      <c r="G984" s="113"/>
      <c r="K984" s="93"/>
    </row>
    <row r="985" spans="2:11" s="38" customFormat="1" ht="12.75" customHeight="1">
      <c r="B985" s="116"/>
      <c r="C985" s="50" t="s">
        <v>60</v>
      </c>
      <c r="D985" s="56"/>
      <c r="E985" s="124"/>
      <c r="F985" s="13"/>
      <c r="G985" s="113"/>
      <c r="K985" s="93"/>
    </row>
    <row r="986" spans="2:11" s="38" customFormat="1">
      <c r="B986" s="116"/>
      <c r="C986" s="55"/>
      <c r="D986" s="56"/>
      <c r="E986" s="124"/>
      <c r="F986" s="13"/>
      <c r="G986" s="113"/>
      <c r="K986" s="93"/>
    </row>
    <row r="987" spans="2:11" s="38" customFormat="1">
      <c r="B987" s="71" t="s">
        <v>1018</v>
      </c>
      <c r="C987" s="55" t="s">
        <v>62</v>
      </c>
      <c r="D987" s="56"/>
      <c r="E987" s="124">
        <v>0</v>
      </c>
      <c r="F987" s="13">
        <v>0</v>
      </c>
      <c r="G987" s="13">
        <f>F987*E987</f>
        <v>0</v>
      </c>
      <c r="K987" s="93"/>
    </row>
    <row r="988" spans="2:11" s="38" customFormat="1" ht="201" customHeight="1" outlineLevel="1">
      <c r="B988" s="71" t="s">
        <v>1019</v>
      </c>
      <c r="C988" s="132" t="s">
        <v>64</v>
      </c>
      <c r="D988" s="51" t="s">
        <v>38</v>
      </c>
      <c r="E988" s="112">
        <v>1</v>
      </c>
      <c r="F988" s="4"/>
      <c r="G988" s="59">
        <f t="shared" ref="G988:G1051" si="24">E988*F988</f>
        <v>0</v>
      </c>
      <c r="K988" s="93"/>
    </row>
    <row r="989" spans="2:11" s="38" customFormat="1">
      <c r="B989" s="71" t="s">
        <v>1020</v>
      </c>
      <c r="C989" s="55" t="s">
        <v>66</v>
      </c>
      <c r="D989" s="56"/>
      <c r="E989" s="124">
        <v>0</v>
      </c>
      <c r="F989" s="13"/>
      <c r="G989" s="59">
        <f t="shared" si="24"/>
        <v>0</v>
      </c>
      <c r="K989" s="93"/>
    </row>
    <row r="990" spans="2:11" s="38" customFormat="1" ht="51" customHeight="1" outlineLevel="1">
      <c r="B990" s="71" t="s">
        <v>1021</v>
      </c>
      <c r="C990" s="132" t="s">
        <v>68</v>
      </c>
      <c r="D990" s="51" t="s">
        <v>38</v>
      </c>
      <c r="E990" s="112">
        <v>1</v>
      </c>
      <c r="F990" s="4"/>
      <c r="G990" s="59">
        <f t="shared" si="24"/>
        <v>0</v>
      </c>
      <c r="K990" s="100"/>
    </row>
    <row r="991" spans="2:11" s="38" customFormat="1" ht="81" customHeight="1" outlineLevel="1">
      <c r="B991" s="71" t="s">
        <v>1022</v>
      </c>
      <c r="C991" s="132" t="s">
        <v>70</v>
      </c>
      <c r="D991" s="51" t="s">
        <v>38</v>
      </c>
      <c r="E991" s="112">
        <v>1</v>
      </c>
      <c r="F991" s="4"/>
      <c r="G991" s="59">
        <f t="shared" si="24"/>
        <v>0</v>
      </c>
      <c r="K991" s="100"/>
    </row>
    <row r="992" spans="2:11" s="38" customFormat="1">
      <c r="B992" s="71" t="s">
        <v>1023</v>
      </c>
      <c r="C992" s="55" t="s">
        <v>72</v>
      </c>
      <c r="D992" s="56"/>
      <c r="E992" s="124">
        <v>0</v>
      </c>
      <c r="F992" s="4">
        <v>0</v>
      </c>
      <c r="G992" s="59">
        <f t="shared" si="24"/>
        <v>0</v>
      </c>
      <c r="K992" s="93"/>
    </row>
    <row r="993" spans="2:11" s="38" customFormat="1" ht="115.5" customHeight="1" outlineLevel="1">
      <c r="B993" s="71" t="s">
        <v>1024</v>
      </c>
      <c r="C993" s="132" t="s">
        <v>324</v>
      </c>
      <c r="D993" s="51" t="s">
        <v>75</v>
      </c>
      <c r="E993" s="112">
        <v>29.19</v>
      </c>
      <c r="F993" s="4"/>
      <c r="G993" s="59">
        <f t="shared" si="24"/>
        <v>0</v>
      </c>
      <c r="K993" s="93"/>
    </row>
    <row r="994" spans="2:11" s="38" customFormat="1" ht="77.25" customHeight="1" outlineLevel="1">
      <c r="B994" s="71" t="s">
        <v>1025</v>
      </c>
      <c r="C994" s="132" t="s">
        <v>77</v>
      </c>
      <c r="D994" s="51" t="s">
        <v>75</v>
      </c>
      <c r="E994" s="112">
        <v>16.670000000000002</v>
      </c>
      <c r="F994" s="4"/>
      <c r="G994" s="59">
        <f t="shared" si="24"/>
        <v>0</v>
      </c>
      <c r="K994" s="93"/>
    </row>
    <row r="995" spans="2:11" s="38" customFormat="1" ht="76.5" outlineLevel="1">
      <c r="B995" s="71" t="s">
        <v>1026</v>
      </c>
      <c r="C995" s="132" t="s">
        <v>327</v>
      </c>
      <c r="D995" s="51" t="s">
        <v>75</v>
      </c>
      <c r="E995" s="112">
        <v>35.04</v>
      </c>
      <c r="F995" s="57"/>
      <c r="G995" s="59">
        <f t="shared" si="24"/>
        <v>0</v>
      </c>
      <c r="K995" s="93"/>
    </row>
    <row r="996" spans="2:11" s="38" customFormat="1" ht="104.25" customHeight="1" outlineLevel="1">
      <c r="B996" s="71" t="s">
        <v>1027</v>
      </c>
      <c r="C996" s="132" t="s">
        <v>329</v>
      </c>
      <c r="D996" s="51" t="s">
        <v>75</v>
      </c>
      <c r="E996" s="112">
        <v>4.53</v>
      </c>
      <c r="F996" s="4"/>
      <c r="G996" s="59">
        <f t="shared" si="24"/>
        <v>0</v>
      </c>
      <c r="K996" s="93"/>
    </row>
    <row r="997" spans="2:11" s="38" customFormat="1" ht="72" customHeight="1" outlineLevel="1">
      <c r="B997" s="71" t="s">
        <v>1028</v>
      </c>
      <c r="C997" s="132" t="s">
        <v>331</v>
      </c>
      <c r="D997" s="51" t="s">
        <v>84</v>
      </c>
      <c r="E997" s="112">
        <v>1.8</v>
      </c>
      <c r="F997" s="4"/>
      <c r="G997" s="59">
        <f t="shared" si="24"/>
        <v>0</v>
      </c>
      <c r="K997" s="93"/>
    </row>
    <row r="998" spans="2:11" s="38" customFormat="1" ht="44.25" customHeight="1" outlineLevel="1">
      <c r="B998" s="71" t="s">
        <v>1029</v>
      </c>
      <c r="C998" s="132" t="s">
        <v>221</v>
      </c>
      <c r="D998" s="51" t="s">
        <v>84</v>
      </c>
      <c r="E998" s="112">
        <v>13.68</v>
      </c>
      <c r="F998" s="4"/>
      <c r="G998" s="59">
        <f t="shared" si="24"/>
        <v>0</v>
      </c>
      <c r="K998" s="93"/>
    </row>
    <row r="999" spans="2:11" s="38" customFormat="1" ht="38.25" outlineLevel="1">
      <c r="B999" s="71" t="s">
        <v>1030</v>
      </c>
      <c r="C999" s="132" t="s">
        <v>223</v>
      </c>
      <c r="D999" s="51" t="s">
        <v>84</v>
      </c>
      <c r="E999" s="112">
        <v>2.6</v>
      </c>
      <c r="F999" s="4"/>
      <c r="G999" s="59">
        <f t="shared" si="24"/>
        <v>0</v>
      </c>
      <c r="K999" s="93"/>
    </row>
    <row r="1000" spans="2:11" s="38" customFormat="1" ht="114.75" outlineLevel="1">
      <c r="B1000" s="71" t="s">
        <v>1031</v>
      </c>
      <c r="C1000" s="130" t="s">
        <v>335</v>
      </c>
      <c r="D1000" s="51" t="s">
        <v>91</v>
      </c>
      <c r="E1000" s="112">
        <v>1</v>
      </c>
      <c r="F1000" s="4"/>
      <c r="G1000" s="59">
        <f t="shared" si="24"/>
        <v>0</v>
      </c>
      <c r="K1000" s="93"/>
    </row>
    <row r="1001" spans="2:11" s="38" customFormat="1">
      <c r="B1001" s="71" t="s">
        <v>1032</v>
      </c>
      <c r="C1001" s="55" t="s">
        <v>93</v>
      </c>
      <c r="D1001" s="56"/>
      <c r="E1001" s="124">
        <v>0</v>
      </c>
      <c r="F1001" s="4">
        <v>0</v>
      </c>
      <c r="G1001" s="59">
        <f t="shared" si="24"/>
        <v>0</v>
      </c>
      <c r="K1001" s="93"/>
    </row>
    <row r="1002" spans="2:11" s="38" customFormat="1" ht="90.75" customHeight="1" outlineLevel="1">
      <c r="B1002" s="71" t="s">
        <v>1033</v>
      </c>
      <c r="C1002" s="132" t="s">
        <v>97</v>
      </c>
      <c r="D1002" s="51" t="s">
        <v>75</v>
      </c>
      <c r="E1002" s="112">
        <v>28.48</v>
      </c>
      <c r="F1002" s="4"/>
      <c r="G1002" s="59">
        <f t="shared" si="24"/>
        <v>0</v>
      </c>
      <c r="K1002" s="93"/>
    </row>
    <row r="1003" spans="2:11" s="38" customFormat="1" ht="120" customHeight="1" outlineLevel="1">
      <c r="B1003" s="71" t="s">
        <v>1034</v>
      </c>
      <c r="C1003" s="132" t="s">
        <v>99</v>
      </c>
      <c r="D1003" s="51" t="s">
        <v>75</v>
      </c>
      <c r="E1003" s="112">
        <v>55.08</v>
      </c>
      <c r="F1003" s="4"/>
      <c r="G1003" s="59">
        <f t="shared" si="24"/>
        <v>0</v>
      </c>
      <c r="K1003" s="93"/>
    </row>
    <row r="1004" spans="2:11" s="38" customFormat="1" ht="127.5" outlineLevel="1">
      <c r="B1004" s="71" t="s">
        <v>1035</v>
      </c>
      <c r="C1004" s="132" t="s">
        <v>340</v>
      </c>
      <c r="D1004" s="51" t="s">
        <v>75</v>
      </c>
      <c r="E1004" s="112">
        <v>1.76</v>
      </c>
      <c r="F1004" s="4"/>
      <c r="G1004" s="59">
        <f t="shared" si="24"/>
        <v>0</v>
      </c>
      <c r="K1004" s="93"/>
    </row>
    <row r="1005" spans="2:11" s="38" customFormat="1" ht="89.25" outlineLevel="1">
      <c r="B1005" s="71" t="s">
        <v>1036</v>
      </c>
      <c r="C1005" s="132" t="s">
        <v>103</v>
      </c>
      <c r="D1005" s="115"/>
      <c r="E1005" s="112">
        <v>8.8699999999999992</v>
      </c>
      <c r="G1005" s="59">
        <f t="shared" si="24"/>
        <v>0</v>
      </c>
      <c r="K1005" s="93"/>
    </row>
    <row r="1006" spans="2:11" s="38" customFormat="1" ht="200.25" customHeight="1" outlineLevel="1">
      <c r="B1006" s="71" t="s">
        <v>1037</v>
      </c>
      <c r="C1006" s="130" t="s">
        <v>343</v>
      </c>
      <c r="D1006" s="51" t="s">
        <v>75</v>
      </c>
      <c r="E1006" s="112">
        <v>7.62</v>
      </c>
      <c r="F1006" s="4"/>
      <c r="G1006" s="59">
        <f t="shared" si="24"/>
        <v>0</v>
      </c>
      <c r="K1006" s="93"/>
    </row>
    <row r="1007" spans="2:11" s="38" customFormat="1" ht="150" customHeight="1" outlineLevel="1">
      <c r="B1007" s="71" t="s">
        <v>1038</v>
      </c>
      <c r="C1007" s="132" t="s">
        <v>234</v>
      </c>
      <c r="D1007" s="51" t="s">
        <v>75</v>
      </c>
      <c r="E1007" s="112">
        <v>9.27</v>
      </c>
      <c r="F1007" s="4"/>
      <c r="G1007" s="59">
        <f t="shared" si="24"/>
        <v>0</v>
      </c>
      <c r="K1007" s="93"/>
    </row>
    <row r="1008" spans="2:11" s="38" customFormat="1" ht="178.5" outlineLevel="1">
      <c r="B1008" s="71" t="s">
        <v>1039</v>
      </c>
      <c r="C1008" s="130" t="s">
        <v>2617</v>
      </c>
      <c r="D1008" s="51" t="s">
        <v>75</v>
      </c>
      <c r="E1008" s="112">
        <v>3.39</v>
      </c>
      <c r="F1008" s="4"/>
      <c r="G1008" s="59">
        <f t="shared" si="24"/>
        <v>0</v>
      </c>
      <c r="K1008" s="93"/>
    </row>
    <row r="1009" spans="2:11" s="38" customFormat="1" ht="90" customHeight="1" outlineLevel="1">
      <c r="B1009" s="71" t="s">
        <v>1040</v>
      </c>
      <c r="C1009" s="132" t="s">
        <v>435</v>
      </c>
      <c r="D1009" s="51" t="s">
        <v>75</v>
      </c>
      <c r="E1009" s="112">
        <v>33.119999999999997</v>
      </c>
      <c r="F1009" s="4"/>
      <c r="G1009" s="59">
        <f t="shared" si="24"/>
        <v>0</v>
      </c>
      <c r="K1009" s="93"/>
    </row>
    <row r="1010" spans="2:11" s="38" customFormat="1" ht="95.25" customHeight="1" outlineLevel="1">
      <c r="B1010" s="71" t="s">
        <v>1041</v>
      </c>
      <c r="C1010" s="132" t="s">
        <v>437</v>
      </c>
      <c r="D1010" s="51" t="s">
        <v>75</v>
      </c>
      <c r="E1010" s="112">
        <v>9.91</v>
      </c>
      <c r="F1010" s="4"/>
      <c r="G1010" s="59">
        <f t="shared" si="24"/>
        <v>0</v>
      </c>
      <c r="K1010" s="93"/>
    </row>
    <row r="1011" spans="2:11" s="38" customFormat="1" ht="102" customHeight="1" outlineLevel="1">
      <c r="B1011" s="71" t="s">
        <v>1042</v>
      </c>
      <c r="C1011" s="132" t="s">
        <v>353</v>
      </c>
      <c r="D1011" s="51" t="s">
        <v>75</v>
      </c>
      <c r="E1011" s="112">
        <v>8.8699999999999992</v>
      </c>
      <c r="F1011" s="4"/>
      <c r="G1011" s="59">
        <f t="shared" si="24"/>
        <v>0</v>
      </c>
      <c r="K1011" s="93"/>
    </row>
    <row r="1012" spans="2:11" s="38" customFormat="1" ht="89.25" outlineLevel="1">
      <c r="B1012" s="71" t="s">
        <v>1043</v>
      </c>
      <c r="C1012" s="132" t="s">
        <v>442</v>
      </c>
      <c r="D1012" s="51" t="s">
        <v>84</v>
      </c>
      <c r="E1012" s="112">
        <v>8.25</v>
      </c>
      <c r="F1012" s="4"/>
      <c r="G1012" s="59">
        <f t="shared" si="24"/>
        <v>0</v>
      </c>
      <c r="K1012" s="93"/>
    </row>
    <row r="1013" spans="2:11" s="38" customFormat="1" ht="95.25" customHeight="1" outlineLevel="1">
      <c r="B1013" s="71" t="s">
        <v>1044</v>
      </c>
      <c r="C1013" s="132" t="s">
        <v>248</v>
      </c>
      <c r="D1013" s="51" t="s">
        <v>84</v>
      </c>
      <c r="E1013" s="112">
        <v>5.5</v>
      </c>
      <c r="F1013" s="4"/>
      <c r="G1013" s="59">
        <f t="shared" si="24"/>
        <v>0</v>
      </c>
      <c r="K1013" s="93"/>
    </row>
    <row r="1014" spans="2:11" s="38" customFormat="1" outlineLevel="1">
      <c r="B1014" s="71"/>
      <c r="C1014" s="50"/>
      <c r="D1014" s="51"/>
      <c r="E1014" s="112"/>
      <c r="F1014" s="4"/>
      <c r="G1014" s="59">
        <f t="shared" si="24"/>
        <v>0</v>
      </c>
      <c r="K1014" s="93"/>
    </row>
    <row r="1015" spans="2:11" s="38" customFormat="1">
      <c r="B1015" s="71" t="s">
        <v>1045</v>
      </c>
      <c r="C1015" s="55" t="s">
        <v>123</v>
      </c>
      <c r="D1015" s="56"/>
      <c r="E1015" s="124">
        <v>0</v>
      </c>
      <c r="F1015" s="4"/>
      <c r="G1015" s="59">
        <f t="shared" si="24"/>
        <v>0</v>
      </c>
      <c r="K1015" s="93"/>
    </row>
    <row r="1016" spans="2:11" s="38" customFormat="1" ht="156.75" customHeight="1" outlineLevel="1">
      <c r="B1016" s="71" t="s">
        <v>1046</v>
      </c>
      <c r="C1016" s="132" t="s">
        <v>361</v>
      </c>
      <c r="D1016" s="51" t="s">
        <v>75</v>
      </c>
      <c r="E1016" s="112">
        <v>5.07</v>
      </c>
      <c r="F1016" s="4"/>
      <c r="G1016" s="59">
        <f t="shared" si="24"/>
        <v>0</v>
      </c>
      <c r="K1016" s="93"/>
    </row>
    <row r="1017" spans="2:11" s="38" customFormat="1" ht="192" customHeight="1" outlineLevel="1">
      <c r="B1017" s="71" t="s">
        <v>1047</v>
      </c>
      <c r="C1017" s="132" t="s">
        <v>363</v>
      </c>
      <c r="D1017" s="51" t="s">
        <v>75</v>
      </c>
      <c r="E1017" s="112">
        <v>5.73</v>
      </c>
      <c r="F1017" s="4"/>
      <c r="G1017" s="59">
        <f t="shared" si="24"/>
        <v>0</v>
      </c>
      <c r="K1017" s="93"/>
    </row>
    <row r="1018" spans="2:11" s="38" customFormat="1" ht="136.5" customHeight="1" outlineLevel="1">
      <c r="B1018" s="71" t="s">
        <v>1048</v>
      </c>
      <c r="C1018" s="132" t="s">
        <v>365</v>
      </c>
      <c r="D1018" s="51" t="s">
        <v>84</v>
      </c>
      <c r="E1018" s="112">
        <v>4.24</v>
      </c>
      <c r="F1018" s="4"/>
      <c r="G1018" s="59">
        <f t="shared" si="24"/>
        <v>0</v>
      </c>
      <c r="K1018" s="93"/>
    </row>
    <row r="1019" spans="2:11" s="38" customFormat="1" ht="86.25" customHeight="1" outlineLevel="1">
      <c r="B1019" s="71" t="s">
        <v>1049</v>
      </c>
      <c r="C1019" s="132" t="s">
        <v>254</v>
      </c>
      <c r="D1019" s="51" t="s">
        <v>75</v>
      </c>
      <c r="E1019" s="112">
        <v>8.8000000000000007</v>
      </c>
      <c r="F1019" s="4"/>
      <c r="G1019" s="59">
        <f t="shared" si="24"/>
        <v>0</v>
      </c>
      <c r="K1019" s="93"/>
    </row>
    <row r="1020" spans="2:11" s="38" customFormat="1" ht="102" customHeight="1" outlineLevel="1">
      <c r="B1020" s="71" t="s">
        <v>1050</v>
      </c>
      <c r="C1020" s="138" t="s">
        <v>452</v>
      </c>
      <c r="D1020" s="51" t="s">
        <v>75</v>
      </c>
      <c r="E1020" s="112">
        <v>5.07</v>
      </c>
      <c r="F1020" s="4"/>
      <c r="G1020" s="59">
        <f t="shared" si="24"/>
        <v>0</v>
      </c>
      <c r="K1020" s="93"/>
    </row>
    <row r="1021" spans="2:11" s="38" customFormat="1" ht="89.25" outlineLevel="1">
      <c r="B1021" s="71" t="s">
        <v>1051</v>
      </c>
      <c r="C1021" s="138" t="s">
        <v>370</v>
      </c>
      <c r="D1021" s="51" t="s">
        <v>75</v>
      </c>
      <c r="E1021" s="112">
        <v>5.73</v>
      </c>
      <c r="F1021" s="4"/>
      <c r="G1021" s="59">
        <f t="shared" si="24"/>
        <v>0</v>
      </c>
      <c r="K1021" s="93"/>
    </row>
    <row r="1022" spans="2:11" s="38" customFormat="1" ht="78.75" customHeight="1" outlineLevel="1">
      <c r="B1022" s="71" t="s">
        <v>1052</v>
      </c>
      <c r="C1022" s="138" t="s">
        <v>260</v>
      </c>
      <c r="D1022" s="51" t="s">
        <v>75</v>
      </c>
      <c r="E1022" s="112">
        <v>15.24</v>
      </c>
      <c r="F1022" s="4"/>
      <c r="G1022" s="59">
        <f t="shared" si="24"/>
        <v>0</v>
      </c>
      <c r="K1022" s="93"/>
    </row>
    <row r="1023" spans="2:11" s="38" customFormat="1" ht="61.5" customHeight="1" outlineLevel="1">
      <c r="B1023" s="71" t="s">
        <v>1053</v>
      </c>
      <c r="C1023" s="138" t="s">
        <v>139</v>
      </c>
      <c r="D1023" s="51" t="s">
        <v>140</v>
      </c>
      <c r="E1023" s="112">
        <v>1</v>
      </c>
      <c r="F1023" s="4"/>
      <c r="G1023" s="59">
        <f t="shared" si="24"/>
        <v>0</v>
      </c>
      <c r="K1023" s="93"/>
    </row>
    <row r="1024" spans="2:11" s="38" customFormat="1" ht="76.5" outlineLevel="1">
      <c r="B1024" s="71" t="s">
        <v>1054</v>
      </c>
      <c r="C1024" s="138" t="s">
        <v>263</v>
      </c>
      <c r="D1024" s="51" t="s">
        <v>84</v>
      </c>
      <c r="E1024" s="112">
        <v>5</v>
      </c>
      <c r="F1024" s="4"/>
      <c r="G1024" s="59">
        <f t="shared" si="24"/>
        <v>0</v>
      </c>
      <c r="K1024" s="93"/>
    </row>
    <row r="1025" spans="2:11" s="38" customFormat="1" ht="76.5" outlineLevel="1">
      <c r="B1025" s="71" t="s">
        <v>1055</v>
      </c>
      <c r="C1025" s="138" t="s">
        <v>265</v>
      </c>
      <c r="D1025" s="51" t="s">
        <v>84</v>
      </c>
      <c r="E1025" s="112">
        <v>15.33</v>
      </c>
      <c r="F1025" s="4"/>
      <c r="G1025" s="59">
        <f t="shared" si="24"/>
        <v>0</v>
      </c>
      <c r="K1025" s="93"/>
    </row>
    <row r="1026" spans="2:11" s="38" customFormat="1">
      <c r="B1026" s="71" t="s">
        <v>1056</v>
      </c>
      <c r="C1026" s="55" t="s">
        <v>146</v>
      </c>
      <c r="D1026" s="56"/>
      <c r="E1026" s="124">
        <v>0</v>
      </c>
      <c r="F1026" s="4"/>
      <c r="G1026" s="59">
        <f t="shared" si="24"/>
        <v>0</v>
      </c>
      <c r="K1026" s="93"/>
    </row>
    <row r="1027" spans="2:11" s="38" customFormat="1" ht="216.75" outlineLevel="1">
      <c r="B1027" s="127" t="s">
        <v>1057</v>
      </c>
      <c r="C1027" s="139" t="s">
        <v>2637</v>
      </c>
      <c r="D1027" s="51" t="s">
        <v>140</v>
      </c>
      <c r="E1027" s="112">
        <v>1</v>
      </c>
      <c r="F1027" s="4"/>
      <c r="G1027" s="59">
        <f t="shared" si="24"/>
        <v>0</v>
      </c>
      <c r="K1027" s="93"/>
    </row>
    <row r="1028" spans="2:11" s="38" customFormat="1" ht="165.75" outlineLevel="1">
      <c r="B1028" s="127" t="s">
        <v>1058</v>
      </c>
      <c r="C1028" s="139" t="s">
        <v>269</v>
      </c>
      <c r="D1028" s="51" t="s">
        <v>140</v>
      </c>
      <c r="E1028" s="112">
        <v>1</v>
      </c>
      <c r="F1028" s="4"/>
      <c r="G1028" s="59">
        <f t="shared" si="24"/>
        <v>0</v>
      </c>
      <c r="K1028" s="93"/>
    </row>
    <row r="1029" spans="2:11" s="38" customFormat="1">
      <c r="B1029" s="71" t="s">
        <v>1059</v>
      </c>
      <c r="C1029" s="55" t="s">
        <v>151</v>
      </c>
      <c r="D1029" s="56"/>
      <c r="E1029" s="124">
        <v>0</v>
      </c>
      <c r="F1029" s="4"/>
      <c r="G1029" s="59">
        <f t="shared" si="24"/>
        <v>0</v>
      </c>
      <c r="K1029" s="93"/>
    </row>
    <row r="1030" spans="2:11" s="38" customFormat="1" ht="38.25" outlineLevel="1">
      <c r="B1030" s="71" t="s">
        <v>1060</v>
      </c>
      <c r="C1030" s="138" t="s">
        <v>153</v>
      </c>
      <c r="D1030" s="51" t="s">
        <v>140</v>
      </c>
      <c r="E1030" s="112">
        <v>1</v>
      </c>
      <c r="F1030" s="13"/>
      <c r="G1030" s="59">
        <f t="shared" si="24"/>
        <v>0</v>
      </c>
      <c r="K1030" s="93"/>
    </row>
    <row r="1031" spans="2:11" s="38" customFormat="1" ht="47.25" customHeight="1" outlineLevel="1">
      <c r="B1031" s="71" t="s">
        <v>1061</v>
      </c>
      <c r="C1031" s="138" t="s">
        <v>155</v>
      </c>
      <c r="D1031" s="51" t="s">
        <v>140</v>
      </c>
      <c r="E1031" s="112">
        <v>1</v>
      </c>
      <c r="F1031" s="13"/>
      <c r="G1031" s="59">
        <f t="shared" si="24"/>
        <v>0</v>
      </c>
      <c r="K1031" s="93"/>
    </row>
    <row r="1032" spans="2:11" s="38" customFormat="1">
      <c r="B1032" s="71" t="s">
        <v>1062</v>
      </c>
      <c r="C1032" s="55" t="s">
        <v>157</v>
      </c>
      <c r="D1032" s="56"/>
      <c r="E1032" s="124">
        <v>0</v>
      </c>
      <c r="F1032" s="4">
        <v>0</v>
      </c>
      <c r="G1032" s="59">
        <f t="shared" si="24"/>
        <v>0</v>
      </c>
      <c r="K1032" s="93"/>
    </row>
    <row r="1033" spans="2:11" s="38" customFormat="1" ht="54" customHeight="1" outlineLevel="1">
      <c r="B1033" s="98"/>
      <c r="C1033" s="50" t="s">
        <v>158</v>
      </c>
      <c r="D1033" s="51"/>
      <c r="E1033" s="112"/>
      <c r="F1033" s="4"/>
      <c r="G1033" s="59">
        <f t="shared" si="24"/>
        <v>0</v>
      </c>
      <c r="K1033" s="93"/>
    </row>
    <row r="1034" spans="2:11" s="38" customFormat="1" ht="51" outlineLevel="1">
      <c r="B1034" s="98" t="s">
        <v>1063</v>
      </c>
      <c r="C1034" s="138" t="s">
        <v>160</v>
      </c>
      <c r="D1034" s="51" t="s">
        <v>140</v>
      </c>
      <c r="E1034" s="112">
        <v>1</v>
      </c>
      <c r="F1034" s="4"/>
      <c r="G1034" s="59">
        <f t="shared" si="24"/>
        <v>0</v>
      </c>
      <c r="K1034" s="100"/>
    </row>
    <row r="1035" spans="2:11" s="38" customFormat="1" ht="38.25" outlineLevel="1">
      <c r="B1035" s="98" t="s">
        <v>1064</v>
      </c>
      <c r="C1035" s="138" t="s">
        <v>162</v>
      </c>
      <c r="D1035" s="51" t="s">
        <v>140</v>
      </c>
      <c r="E1035" s="112">
        <v>1</v>
      </c>
      <c r="F1035" s="4"/>
      <c r="G1035" s="59">
        <f t="shared" si="24"/>
        <v>0</v>
      </c>
      <c r="K1035" s="100"/>
    </row>
    <row r="1036" spans="2:11" s="38" customFormat="1" ht="51" outlineLevel="1">
      <c r="B1036" s="98" t="s">
        <v>1065</v>
      </c>
      <c r="C1036" s="138" t="s">
        <v>164</v>
      </c>
      <c r="D1036" s="51" t="s">
        <v>140</v>
      </c>
      <c r="E1036" s="112">
        <v>1</v>
      </c>
      <c r="F1036" s="4"/>
      <c r="G1036" s="59">
        <f t="shared" si="24"/>
        <v>0</v>
      </c>
      <c r="K1036" s="100"/>
    </row>
    <row r="1037" spans="2:11" s="38" customFormat="1" ht="143.25" customHeight="1" outlineLevel="1">
      <c r="B1037" s="98" t="s">
        <v>1066</v>
      </c>
      <c r="C1037" s="138" t="s">
        <v>1067</v>
      </c>
      <c r="D1037" s="51" t="s">
        <v>140</v>
      </c>
      <c r="E1037" s="112">
        <v>1</v>
      </c>
      <c r="F1037" s="4"/>
      <c r="G1037" s="59">
        <f t="shared" si="24"/>
        <v>0</v>
      </c>
      <c r="K1037" s="100"/>
    </row>
    <row r="1038" spans="2:11" s="38" customFormat="1" ht="108" customHeight="1" outlineLevel="1">
      <c r="B1038" s="98" t="s">
        <v>1068</v>
      </c>
      <c r="C1038" s="138" t="s">
        <v>1069</v>
      </c>
      <c r="D1038" s="51" t="s">
        <v>140</v>
      </c>
      <c r="E1038" s="112">
        <v>1</v>
      </c>
      <c r="F1038" s="4"/>
      <c r="G1038" s="59">
        <f t="shared" si="24"/>
        <v>0</v>
      </c>
      <c r="K1038" s="100"/>
    </row>
    <row r="1039" spans="2:11" s="38" customFormat="1" ht="58.5" customHeight="1" outlineLevel="1">
      <c r="B1039" s="98" t="s">
        <v>1070</v>
      </c>
      <c r="C1039" s="138" t="s">
        <v>170</v>
      </c>
      <c r="D1039" s="51" t="s">
        <v>140</v>
      </c>
      <c r="E1039" s="112">
        <v>1</v>
      </c>
      <c r="F1039" s="4"/>
      <c r="G1039" s="59">
        <f t="shared" si="24"/>
        <v>0</v>
      </c>
      <c r="K1039" s="100"/>
    </row>
    <row r="1040" spans="2:11" s="38" customFormat="1" ht="38.25" outlineLevel="1">
      <c r="B1040" s="98" t="s">
        <v>1071</v>
      </c>
      <c r="C1040" s="138" t="s">
        <v>172</v>
      </c>
      <c r="D1040" s="51" t="s">
        <v>140</v>
      </c>
      <c r="E1040" s="112">
        <v>1</v>
      </c>
      <c r="F1040" s="4"/>
      <c r="G1040" s="59">
        <f t="shared" si="24"/>
        <v>0</v>
      </c>
      <c r="K1040" s="100"/>
    </row>
    <row r="1041" spans="2:11" s="38" customFormat="1" ht="51" outlineLevel="1">
      <c r="B1041" s="98" t="s">
        <v>1072</v>
      </c>
      <c r="C1041" s="138" t="s">
        <v>174</v>
      </c>
      <c r="D1041" s="51" t="s">
        <v>140</v>
      </c>
      <c r="E1041" s="112">
        <v>1</v>
      </c>
      <c r="F1041" s="4"/>
      <c r="G1041" s="59">
        <f t="shared" si="24"/>
        <v>0</v>
      </c>
      <c r="K1041" s="100"/>
    </row>
    <row r="1042" spans="2:11" s="38" customFormat="1" ht="51" outlineLevel="1">
      <c r="B1042" s="98" t="s">
        <v>1073</v>
      </c>
      <c r="C1042" s="138" t="s">
        <v>2638</v>
      </c>
      <c r="D1042" s="51" t="s">
        <v>140</v>
      </c>
      <c r="E1042" s="112">
        <v>1</v>
      </c>
      <c r="F1042" s="4"/>
      <c r="G1042" s="59">
        <f t="shared" si="24"/>
        <v>0</v>
      </c>
      <c r="K1042" s="100"/>
    </row>
    <row r="1043" spans="2:11" s="38" customFormat="1" ht="51" outlineLevel="1">
      <c r="B1043" s="98" t="s">
        <v>1074</v>
      </c>
      <c r="C1043" s="138" t="s">
        <v>177</v>
      </c>
      <c r="D1043" s="51" t="s">
        <v>140</v>
      </c>
      <c r="E1043" s="112">
        <v>1</v>
      </c>
      <c r="F1043" s="4"/>
      <c r="G1043" s="59">
        <f t="shared" si="24"/>
        <v>0</v>
      </c>
      <c r="K1043" s="100"/>
    </row>
    <row r="1044" spans="2:11" s="38" customFormat="1" ht="63.75" outlineLevel="1">
      <c r="B1044" s="98" t="s">
        <v>1075</v>
      </c>
      <c r="C1044" s="138" t="s">
        <v>179</v>
      </c>
      <c r="D1044" s="51" t="s">
        <v>140</v>
      </c>
      <c r="E1044" s="112">
        <v>1</v>
      </c>
      <c r="F1044" s="4"/>
      <c r="G1044" s="59">
        <f t="shared" si="24"/>
        <v>0</v>
      </c>
      <c r="K1044" s="100"/>
    </row>
    <row r="1045" spans="2:11" s="38" customFormat="1" ht="51" outlineLevel="1">
      <c r="B1045" s="98" t="s">
        <v>1076</v>
      </c>
      <c r="C1045" s="138" t="s">
        <v>181</v>
      </c>
      <c r="D1045" s="51" t="s">
        <v>140</v>
      </c>
      <c r="E1045" s="112">
        <v>1</v>
      </c>
      <c r="F1045" s="4"/>
      <c r="G1045" s="59">
        <f t="shared" si="24"/>
        <v>0</v>
      </c>
      <c r="K1045" s="100"/>
    </row>
    <row r="1046" spans="2:11" s="38" customFormat="1" ht="25.5" outlineLevel="1">
      <c r="B1046" s="98" t="s">
        <v>1077</v>
      </c>
      <c r="C1046" s="138" t="s">
        <v>183</v>
      </c>
      <c r="D1046" s="51" t="s">
        <v>140</v>
      </c>
      <c r="E1046" s="112">
        <v>1</v>
      </c>
      <c r="F1046" s="4"/>
      <c r="G1046" s="59">
        <f t="shared" si="24"/>
        <v>0</v>
      </c>
      <c r="K1046" s="100"/>
    </row>
    <row r="1047" spans="2:11" s="38" customFormat="1" ht="38.25" outlineLevel="1">
      <c r="B1047" s="98" t="s">
        <v>1078</v>
      </c>
      <c r="C1047" s="138" t="s">
        <v>185</v>
      </c>
      <c r="D1047" s="51" t="s">
        <v>140</v>
      </c>
      <c r="E1047" s="112">
        <v>2</v>
      </c>
      <c r="F1047" s="4">
        <v>0</v>
      </c>
      <c r="G1047" s="59">
        <f t="shared" si="24"/>
        <v>0</v>
      </c>
      <c r="K1047" s="100"/>
    </row>
    <row r="1048" spans="2:11" s="38" customFormat="1" ht="38.25" outlineLevel="1">
      <c r="B1048" s="98" t="s">
        <v>1079</v>
      </c>
      <c r="C1048" s="138" t="s">
        <v>187</v>
      </c>
      <c r="D1048" s="51" t="s">
        <v>140</v>
      </c>
      <c r="E1048" s="112">
        <v>1</v>
      </c>
      <c r="F1048" s="4">
        <v>0</v>
      </c>
      <c r="G1048" s="59">
        <f t="shared" si="24"/>
        <v>0</v>
      </c>
      <c r="K1048" s="100"/>
    </row>
    <row r="1049" spans="2:11" s="38" customFormat="1" ht="38.25" outlineLevel="1">
      <c r="B1049" s="98" t="s">
        <v>1080</v>
      </c>
      <c r="C1049" s="138" t="s">
        <v>189</v>
      </c>
      <c r="D1049" s="51" t="s">
        <v>140</v>
      </c>
      <c r="E1049" s="112">
        <v>2</v>
      </c>
      <c r="F1049" s="4">
        <v>0</v>
      </c>
      <c r="G1049" s="59">
        <f t="shared" si="24"/>
        <v>0</v>
      </c>
      <c r="K1049" s="100"/>
    </row>
    <row r="1050" spans="2:11" s="38" customFormat="1" ht="25.5" outlineLevel="1">
      <c r="B1050" s="98" t="s">
        <v>1081</v>
      </c>
      <c r="C1050" s="138" t="s">
        <v>191</v>
      </c>
      <c r="D1050" s="51" t="s">
        <v>140</v>
      </c>
      <c r="E1050" s="112">
        <v>1</v>
      </c>
      <c r="F1050" s="4">
        <v>0</v>
      </c>
      <c r="G1050" s="59">
        <f t="shared" si="24"/>
        <v>0</v>
      </c>
      <c r="K1050" s="100"/>
    </row>
    <row r="1051" spans="2:11" s="38" customFormat="1" ht="57.75" customHeight="1" outlineLevel="1">
      <c r="B1051" s="98" t="s">
        <v>1082</v>
      </c>
      <c r="C1051" s="138" t="s">
        <v>193</v>
      </c>
      <c r="D1051" s="51" t="s">
        <v>140</v>
      </c>
      <c r="E1051" s="112">
        <v>1</v>
      </c>
      <c r="F1051" s="4"/>
      <c r="G1051" s="59">
        <f t="shared" si="24"/>
        <v>0</v>
      </c>
      <c r="K1051" s="100"/>
    </row>
    <row r="1052" spans="2:11" s="38" customFormat="1" ht="153" outlineLevel="1">
      <c r="B1052" s="98" t="s">
        <v>1083</v>
      </c>
      <c r="C1052" s="138" t="s">
        <v>195</v>
      </c>
      <c r="D1052" s="51" t="s">
        <v>140</v>
      </c>
      <c r="E1052" s="112">
        <v>1</v>
      </c>
      <c r="F1052" s="4">
        <v>0</v>
      </c>
      <c r="G1052" s="59">
        <f t="shared" ref="G1052:G1056" si="25">E1052*F1052</f>
        <v>0</v>
      </c>
      <c r="K1052" s="100"/>
    </row>
    <row r="1053" spans="2:11" s="38" customFormat="1" ht="72.75" customHeight="1" outlineLevel="1">
      <c r="B1053" s="98" t="s">
        <v>1084</v>
      </c>
      <c r="C1053" s="138" t="s">
        <v>197</v>
      </c>
      <c r="D1053" s="51" t="s">
        <v>140</v>
      </c>
      <c r="E1053" s="112">
        <v>1</v>
      </c>
      <c r="F1053" s="4"/>
      <c r="G1053" s="59">
        <f t="shared" si="25"/>
        <v>0</v>
      </c>
      <c r="K1053" s="100"/>
    </row>
    <row r="1054" spans="2:11" s="38" customFormat="1" ht="118.5" customHeight="1" outlineLevel="1">
      <c r="B1054" s="98" t="s">
        <v>1085</v>
      </c>
      <c r="C1054" s="132" t="s">
        <v>2627</v>
      </c>
      <c r="D1054" s="51" t="s">
        <v>140</v>
      </c>
      <c r="E1054" s="112">
        <v>1</v>
      </c>
      <c r="F1054" s="4"/>
      <c r="G1054" s="59">
        <f t="shared" si="25"/>
        <v>0</v>
      </c>
      <c r="K1054" s="93"/>
    </row>
    <row r="1055" spans="2:11" s="38" customFormat="1" ht="110.25" customHeight="1" outlineLevel="1">
      <c r="B1055" s="98" t="s">
        <v>1086</v>
      </c>
      <c r="C1055" s="138" t="s">
        <v>1012</v>
      </c>
      <c r="D1055" s="51" t="s">
        <v>140</v>
      </c>
      <c r="E1055" s="112">
        <v>1</v>
      </c>
      <c r="F1055" s="4"/>
      <c r="G1055" s="59">
        <f t="shared" si="25"/>
        <v>0</v>
      </c>
      <c r="K1055" s="93"/>
    </row>
    <row r="1056" spans="2:11" s="38" customFormat="1">
      <c r="B1056" s="71" t="s">
        <v>1087</v>
      </c>
      <c r="C1056" s="55" t="s">
        <v>202</v>
      </c>
      <c r="D1056" s="56"/>
      <c r="E1056" s="124">
        <v>0</v>
      </c>
      <c r="F1056" s="4"/>
      <c r="G1056" s="59">
        <f t="shared" si="25"/>
        <v>0</v>
      </c>
      <c r="K1056" s="100"/>
    </row>
    <row r="1057" spans="2:11" s="38" customFormat="1" ht="63.75" outlineLevel="1">
      <c r="B1057" s="71" t="s">
        <v>1088</v>
      </c>
      <c r="C1057" s="138" t="s">
        <v>314</v>
      </c>
      <c r="D1057" s="51" t="s">
        <v>84</v>
      </c>
      <c r="E1057" s="112">
        <v>3.3</v>
      </c>
      <c r="F1057" s="4"/>
      <c r="G1057" s="59">
        <f>E1057*F1057</f>
        <v>0</v>
      </c>
      <c r="K1057" s="100"/>
    </row>
    <row r="1058" spans="2:11" s="38" customFormat="1">
      <c r="B1058" s="71"/>
      <c r="C1058" s="55"/>
      <c r="D1058" s="56"/>
      <c r="E1058" s="124"/>
      <c r="F1058" s="4"/>
      <c r="G1058" s="4"/>
      <c r="K1058" s="100"/>
    </row>
    <row r="1059" spans="2:11" s="38" customFormat="1">
      <c r="B1059" s="72" t="s">
        <v>1089</v>
      </c>
      <c r="C1059" s="52"/>
      <c r="D1059" s="15"/>
      <c r="E1059" s="122"/>
      <c r="F1059" s="54"/>
      <c r="G1059" s="58">
        <f>SUM(G985:G1057)</f>
        <v>0</v>
      </c>
      <c r="K1059" s="93"/>
    </row>
    <row r="1060" spans="2:11" s="38" customFormat="1" outlineLevel="1">
      <c r="B1060" s="71"/>
      <c r="C1060" s="50"/>
      <c r="D1060" s="51"/>
      <c r="E1060" s="112"/>
      <c r="F1060" s="4"/>
      <c r="G1060" s="59"/>
      <c r="K1060" s="100"/>
    </row>
    <row r="1061" spans="2:11" s="38" customFormat="1">
      <c r="B1061" s="114" t="s">
        <v>1090</v>
      </c>
      <c r="C1061" s="52"/>
      <c r="D1061" s="15"/>
      <c r="E1061" s="122"/>
      <c r="F1061" s="54"/>
      <c r="G1061" s="58"/>
      <c r="K1061" s="93"/>
    </row>
    <row r="1062" spans="2:11" s="38" customFormat="1" ht="38.25">
      <c r="B1062" s="116"/>
      <c r="C1062" s="55" t="s">
        <v>207</v>
      </c>
      <c r="D1062" s="11" t="s">
        <v>140</v>
      </c>
      <c r="E1062" s="121">
        <v>6</v>
      </c>
      <c r="F1062" s="13"/>
      <c r="G1062" s="113">
        <f>G1059*E1062</f>
        <v>0</v>
      </c>
      <c r="K1062" s="93"/>
    </row>
    <row r="1063" spans="2:11" s="38" customFormat="1">
      <c r="B1063" s="116"/>
      <c r="C1063" s="55"/>
      <c r="D1063" s="11"/>
      <c r="E1063" s="121"/>
      <c r="F1063" s="13"/>
      <c r="G1063" s="113"/>
      <c r="K1063" s="93"/>
    </row>
    <row r="1064" spans="2:11" s="38" customFormat="1">
      <c r="B1064" s="72">
        <v>3.13</v>
      </c>
      <c r="C1064" s="70" t="s">
        <v>1091</v>
      </c>
      <c r="D1064" s="49"/>
      <c r="E1064" s="123">
        <v>0</v>
      </c>
      <c r="F1064" s="54">
        <v>0</v>
      </c>
      <c r="G1064" s="58"/>
      <c r="K1064" s="93"/>
    </row>
    <row r="1065" spans="2:11" s="38" customFormat="1">
      <c r="B1065" s="116"/>
      <c r="C1065" s="55"/>
      <c r="D1065" s="56"/>
      <c r="E1065" s="124"/>
      <c r="F1065" s="13"/>
      <c r="G1065" s="113"/>
      <c r="K1065" s="93"/>
    </row>
    <row r="1066" spans="2:11" s="38" customFormat="1" ht="38.25">
      <c r="B1066" s="116"/>
      <c r="C1066" s="50" t="s">
        <v>60</v>
      </c>
      <c r="D1066" s="56"/>
      <c r="E1066" s="124"/>
      <c r="F1066" s="13"/>
      <c r="G1066" s="59">
        <f t="shared" ref="G1066:G1129" si="26">E1066*F1066</f>
        <v>0</v>
      </c>
      <c r="K1066" s="93"/>
    </row>
    <row r="1067" spans="2:11" s="38" customFormat="1">
      <c r="B1067" s="116"/>
      <c r="C1067" s="55"/>
      <c r="D1067" s="56"/>
      <c r="E1067" s="124"/>
      <c r="F1067" s="13"/>
      <c r="G1067" s="59">
        <f t="shared" si="26"/>
        <v>0</v>
      </c>
      <c r="K1067" s="93"/>
    </row>
    <row r="1068" spans="2:11" s="38" customFormat="1">
      <c r="B1068" s="71" t="s">
        <v>1092</v>
      </c>
      <c r="C1068" s="55" t="s">
        <v>62</v>
      </c>
      <c r="D1068" s="56"/>
      <c r="E1068" s="124">
        <v>0</v>
      </c>
      <c r="F1068" s="13">
        <v>0</v>
      </c>
      <c r="G1068" s="59">
        <f t="shared" si="26"/>
        <v>0</v>
      </c>
      <c r="K1068" s="93"/>
    </row>
    <row r="1069" spans="2:11" s="38" customFormat="1" ht="198.75" customHeight="1" outlineLevel="1">
      <c r="B1069" s="71" t="s">
        <v>1093</v>
      </c>
      <c r="C1069" s="138" t="s">
        <v>64</v>
      </c>
      <c r="D1069" s="51" t="s">
        <v>38</v>
      </c>
      <c r="E1069" s="112">
        <v>1</v>
      </c>
      <c r="F1069" s="4"/>
      <c r="G1069" s="59">
        <f t="shared" si="26"/>
        <v>0</v>
      </c>
      <c r="K1069" s="93"/>
    </row>
    <row r="1070" spans="2:11" s="38" customFormat="1">
      <c r="B1070" s="71" t="s">
        <v>1094</v>
      </c>
      <c r="C1070" s="55" t="s">
        <v>66</v>
      </c>
      <c r="D1070" s="56"/>
      <c r="E1070" s="124">
        <v>0</v>
      </c>
      <c r="F1070" s="13"/>
      <c r="G1070" s="59">
        <f t="shared" si="26"/>
        <v>0</v>
      </c>
      <c r="K1070" s="93"/>
    </row>
    <row r="1071" spans="2:11" s="38" customFormat="1" ht="38.25" outlineLevel="1">
      <c r="B1071" s="71" t="s">
        <v>1095</v>
      </c>
      <c r="C1071" s="138" t="s">
        <v>68</v>
      </c>
      <c r="D1071" s="51" t="s">
        <v>38</v>
      </c>
      <c r="E1071" s="112">
        <v>1</v>
      </c>
      <c r="F1071" s="4"/>
      <c r="G1071" s="59">
        <f t="shared" si="26"/>
        <v>0</v>
      </c>
      <c r="K1071" s="100"/>
    </row>
    <row r="1072" spans="2:11" s="38" customFormat="1" ht="51" outlineLevel="1">
      <c r="B1072" s="71" t="s">
        <v>1096</v>
      </c>
      <c r="C1072" s="138" t="s">
        <v>70</v>
      </c>
      <c r="D1072" s="51" t="s">
        <v>38</v>
      </c>
      <c r="E1072" s="112">
        <v>1</v>
      </c>
      <c r="F1072" s="4"/>
      <c r="G1072" s="59">
        <f t="shared" si="26"/>
        <v>0</v>
      </c>
      <c r="K1072" s="100"/>
    </row>
    <row r="1073" spans="2:11" s="38" customFormat="1">
      <c r="B1073" s="71" t="s">
        <v>1097</v>
      </c>
      <c r="C1073" s="55" t="s">
        <v>72</v>
      </c>
      <c r="D1073" s="56"/>
      <c r="E1073" s="124">
        <v>0</v>
      </c>
      <c r="F1073" s="4">
        <v>0</v>
      </c>
      <c r="G1073" s="59">
        <f t="shared" si="26"/>
        <v>0</v>
      </c>
      <c r="K1073" s="93"/>
    </row>
    <row r="1074" spans="2:11" s="38" customFormat="1" ht="128.25" customHeight="1" outlineLevel="1">
      <c r="B1074" s="71" t="s">
        <v>1098</v>
      </c>
      <c r="C1074" s="138" t="s">
        <v>324</v>
      </c>
      <c r="D1074" s="51" t="s">
        <v>75</v>
      </c>
      <c r="E1074" s="112">
        <v>16.72</v>
      </c>
      <c r="F1074" s="4"/>
      <c r="G1074" s="59">
        <f t="shared" si="26"/>
        <v>0</v>
      </c>
      <c r="K1074" s="93"/>
    </row>
    <row r="1075" spans="2:11" s="38" customFormat="1" ht="88.5" customHeight="1" outlineLevel="1">
      <c r="B1075" s="71" t="s">
        <v>1099</v>
      </c>
      <c r="C1075" s="138" t="s">
        <v>77</v>
      </c>
      <c r="D1075" s="51" t="s">
        <v>75</v>
      </c>
      <c r="E1075" s="112">
        <v>11.52</v>
      </c>
      <c r="F1075" s="4"/>
      <c r="G1075" s="59">
        <f t="shared" si="26"/>
        <v>0</v>
      </c>
      <c r="K1075" s="93"/>
    </row>
    <row r="1076" spans="2:11" s="38" customFormat="1" ht="84" customHeight="1" outlineLevel="1">
      <c r="B1076" s="71" t="s">
        <v>1100</v>
      </c>
      <c r="C1076" s="138" t="s">
        <v>327</v>
      </c>
      <c r="D1076" s="51" t="s">
        <v>75</v>
      </c>
      <c r="E1076" s="112">
        <v>20.67</v>
      </c>
      <c r="F1076" s="57"/>
      <c r="G1076" s="59">
        <f t="shared" si="26"/>
        <v>0</v>
      </c>
      <c r="K1076" s="93"/>
    </row>
    <row r="1077" spans="2:11" s="38" customFormat="1" ht="99" customHeight="1" outlineLevel="1">
      <c r="B1077" s="71" t="s">
        <v>1101</v>
      </c>
      <c r="C1077" s="138" t="s">
        <v>329</v>
      </c>
      <c r="D1077" s="51" t="s">
        <v>75</v>
      </c>
      <c r="E1077" s="112">
        <v>2.73</v>
      </c>
      <c r="F1077" s="4"/>
      <c r="G1077" s="59">
        <f t="shared" si="26"/>
        <v>0</v>
      </c>
      <c r="K1077" s="93"/>
    </row>
    <row r="1078" spans="2:11" s="38" customFormat="1" ht="72" customHeight="1" outlineLevel="1">
      <c r="B1078" s="71" t="s">
        <v>1102</v>
      </c>
      <c r="C1078" s="138" t="s">
        <v>331</v>
      </c>
      <c r="D1078" s="51" t="s">
        <v>84</v>
      </c>
      <c r="E1078" s="112">
        <v>1.8</v>
      </c>
      <c r="F1078" s="4"/>
      <c r="G1078" s="59">
        <f t="shared" si="26"/>
        <v>0</v>
      </c>
      <c r="K1078" s="93"/>
    </row>
    <row r="1079" spans="2:11" s="38" customFormat="1" ht="48" customHeight="1" outlineLevel="1">
      <c r="B1079" s="71" t="s">
        <v>1103</v>
      </c>
      <c r="C1079" s="138" t="s">
        <v>221</v>
      </c>
      <c r="D1079" s="51" t="s">
        <v>84</v>
      </c>
      <c r="E1079" s="112">
        <v>9.18</v>
      </c>
      <c r="F1079" s="4"/>
      <c r="G1079" s="59">
        <f t="shared" si="26"/>
        <v>0</v>
      </c>
      <c r="K1079" s="93"/>
    </row>
    <row r="1080" spans="2:11" s="38" customFormat="1" ht="45" customHeight="1" outlineLevel="1">
      <c r="B1080" s="71" t="s">
        <v>1104</v>
      </c>
      <c r="C1080" s="138" t="s">
        <v>223</v>
      </c>
      <c r="D1080" s="51" t="s">
        <v>84</v>
      </c>
      <c r="E1080" s="112">
        <v>5.26</v>
      </c>
      <c r="F1080" s="4"/>
      <c r="G1080" s="59">
        <f t="shared" si="26"/>
        <v>0</v>
      </c>
      <c r="K1080" s="93"/>
    </row>
    <row r="1081" spans="2:11" s="38" customFormat="1" ht="114.75" outlineLevel="1">
      <c r="B1081" s="71" t="s">
        <v>1105</v>
      </c>
      <c r="C1081" s="139" t="s">
        <v>335</v>
      </c>
      <c r="D1081" s="51" t="s">
        <v>91</v>
      </c>
      <c r="E1081" s="112">
        <v>1</v>
      </c>
      <c r="F1081" s="4"/>
      <c r="G1081" s="59">
        <f t="shared" si="26"/>
        <v>0</v>
      </c>
      <c r="K1081" s="93"/>
    </row>
    <row r="1082" spans="2:11" s="38" customFormat="1">
      <c r="B1082" s="71" t="s">
        <v>1106</v>
      </c>
      <c r="C1082" s="55" t="s">
        <v>93</v>
      </c>
      <c r="D1082" s="56"/>
      <c r="E1082" s="124">
        <v>0</v>
      </c>
      <c r="F1082" s="4">
        <v>0</v>
      </c>
      <c r="G1082" s="59">
        <f t="shared" si="26"/>
        <v>0</v>
      </c>
      <c r="K1082" s="93"/>
    </row>
    <row r="1083" spans="2:11" s="38" customFormat="1" ht="63.75" outlineLevel="1">
      <c r="B1083" s="71" t="s">
        <v>1107</v>
      </c>
      <c r="C1083" s="138" t="s">
        <v>97</v>
      </c>
      <c r="D1083" s="51" t="s">
        <v>75</v>
      </c>
      <c r="E1083" s="112">
        <v>7.92</v>
      </c>
      <c r="F1083" s="4"/>
      <c r="G1083" s="59">
        <f t="shared" si="26"/>
        <v>0</v>
      </c>
      <c r="K1083" s="93"/>
    </row>
    <row r="1084" spans="2:11" s="38" customFormat="1" ht="99.75" customHeight="1" outlineLevel="1">
      <c r="B1084" s="71" t="s">
        <v>1108</v>
      </c>
      <c r="C1084" s="138" t="s">
        <v>99</v>
      </c>
      <c r="D1084" s="51" t="s">
        <v>75</v>
      </c>
      <c r="E1084" s="112">
        <v>42.38</v>
      </c>
      <c r="F1084" s="4"/>
      <c r="G1084" s="59">
        <f t="shared" si="26"/>
        <v>0</v>
      </c>
      <c r="K1084" s="93"/>
    </row>
    <row r="1085" spans="2:11" s="38" customFormat="1" ht="127.5" outlineLevel="1">
      <c r="B1085" s="71" t="s">
        <v>1109</v>
      </c>
      <c r="C1085" s="138" t="s">
        <v>340</v>
      </c>
      <c r="D1085" s="51" t="s">
        <v>75</v>
      </c>
      <c r="E1085" s="112">
        <v>1.26</v>
      </c>
      <c r="F1085" s="4"/>
      <c r="G1085" s="59">
        <f t="shared" si="26"/>
        <v>0</v>
      </c>
      <c r="K1085" s="93"/>
    </row>
    <row r="1086" spans="2:11" s="38" customFormat="1" ht="89.25" outlineLevel="1">
      <c r="B1086" s="71" t="s">
        <v>1110</v>
      </c>
      <c r="C1086" s="138" t="s">
        <v>103</v>
      </c>
      <c r="D1086" s="115"/>
      <c r="E1086" s="112">
        <v>5.68</v>
      </c>
      <c r="G1086" s="59">
        <f t="shared" si="26"/>
        <v>0</v>
      </c>
      <c r="K1086" s="93"/>
    </row>
    <row r="1087" spans="2:11" s="38" customFormat="1" ht="189" customHeight="1" outlineLevel="1">
      <c r="B1087" s="71" t="s">
        <v>1111</v>
      </c>
      <c r="C1087" s="50" t="s">
        <v>1112</v>
      </c>
      <c r="D1087" s="51" t="s">
        <v>75</v>
      </c>
      <c r="E1087" s="112">
        <v>4.88</v>
      </c>
      <c r="F1087" s="4"/>
      <c r="G1087" s="59">
        <f t="shared" si="26"/>
        <v>0</v>
      </c>
      <c r="K1087" s="93"/>
    </row>
    <row r="1088" spans="2:11" s="38" customFormat="1" ht="195" customHeight="1" outlineLevel="1">
      <c r="B1088" s="71" t="s">
        <v>1113</v>
      </c>
      <c r="C1088" s="138" t="s">
        <v>234</v>
      </c>
      <c r="D1088" s="51" t="s">
        <v>75</v>
      </c>
      <c r="E1088" s="112">
        <v>8.58</v>
      </c>
      <c r="F1088" s="4"/>
      <c r="G1088" s="59">
        <f t="shared" si="26"/>
        <v>0</v>
      </c>
      <c r="K1088" s="93"/>
    </row>
    <row r="1089" spans="2:11" s="38" customFormat="1" ht="178.5" outlineLevel="1">
      <c r="B1089" s="71" t="s">
        <v>1114</v>
      </c>
      <c r="C1089" s="139" t="s">
        <v>2617</v>
      </c>
      <c r="D1089" s="51" t="s">
        <v>75</v>
      </c>
      <c r="E1089" s="112">
        <v>2.97</v>
      </c>
      <c r="F1089" s="4"/>
      <c r="G1089" s="59">
        <f t="shared" si="26"/>
        <v>0</v>
      </c>
      <c r="K1089" s="93"/>
    </row>
    <row r="1090" spans="2:11" s="38" customFormat="1" ht="89.25" outlineLevel="1">
      <c r="B1090" s="71" t="s">
        <v>1115</v>
      </c>
      <c r="C1090" s="138" t="s">
        <v>435</v>
      </c>
      <c r="D1090" s="51" t="s">
        <v>75</v>
      </c>
      <c r="E1090" s="112">
        <v>21.65</v>
      </c>
      <c r="F1090" s="4"/>
      <c r="G1090" s="59">
        <f t="shared" si="26"/>
        <v>0</v>
      </c>
      <c r="K1090" s="93"/>
    </row>
    <row r="1091" spans="2:11" s="38" customFormat="1" ht="86.25" customHeight="1" outlineLevel="1">
      <c r="B1091" s="71" t="s">
        <v>1116</v>
      </c>
      <c r="C1091" s="138" t="s">
        <v>437</v>
      </c>
      <c r="D1091" s="51" t="s">
        <v>75</v>
      </c>
      <c r="E1091" s="112">
        <v>12.29</v>
      </c>
      <c r="F1091" s="4"/>
      <c r="G1091" s="59">
        <f t="shared" si="26"/>
        <v>0</v>
      </c>
      <c r="K1091" s="93"/>
    </row>
    <row r="1092" spans="2:11" s="38" customFormat="1" ht="105" customHeight="1" outlineLevel="1">
      <c r="B1092" s="71" t="s">
        <v>1117</v>
      </c>
      <c r="C1092" s="138" t="s">
        <v>353</v>
      </c>
      <c r="D1092" s="51" t="s">
        <v>75</v>
      </c>
      <c r="E1092" s="112">
        <v>5.67</v>
      </c>
      <c r="F1092" s="4"/>
      <c r="G1092" s="59">
        <f t="shared" si="26"/>
        <v>0</v>
      </c>
      <c r="K1092" s="93"/>
    </row>
    <row r="1093" spans="2:11" s="38" customFormat="1" ht="103.5" customHeight="1" outlineLevel="1">
      <c r="B1093" s="71" t="s">
        <v>1118</v>
      </c>
      <c r="C1093" s="138" t="s">
        <v>440</v>
      </c>
      <c r="D1093" s="51" t="s">
        <v>84</v>
      </c>
      <c r="E1093" s="112">
        <v>2.38</v>
      </c>
      <c r="F1093" s="4"/>
      <c r="G1093" s="59">
        <f t="shared" si="26"/>
        <v>0</v>
      </c>
      <c r="K1093" s="93"/>
    </row>
    <row r="1094" spans="2:11" s="38" customFormat="1" ht="104.25" customHeight="1" outlineLevel="1">
      <c r="B1094" s="71" t="s">
        <v>1119</v>
      </c>
      <c r="C1094" s="138" t="s">
        <v>442</v>
      </c>
      <c r="D1094" s="51" t="s">
        <v>84</v>
      </c>
      <c r="E1094" s="112">
        <v>2.75</v>
      </c>
      <c r="F1094" s="4"/>
      <c r="G1094" s="59">
        <f t="shared" si="26"/>
        <v>0</v>
      </c>
      <c r="K1094" s="93"/>
    </row>
    <row r="1095" spans="2:11" s="38" customFormat="1" ht="104.25" customHeight="1" outlineLevel="1">
      <c r="B1095" s="71" t="s">
        <v>1120</v>
      </c>
      <c r="C1095" s="138" t="s">
        <v>248</v>
      </c>
      <c r="D1095" s="51" t="s">
        <v>84</v>
      </c>
      <c r="E1095" s="112">
        <v>5.5</v>
      </c>
      <c r="F1095" s="4"/>
      <c r="G1095" s="59">
        <f t="shared" si="26"/>
        <v>0</v>
      </c>
      <c r="K1095" s="93"/>
    </row>
    <row r="1096" spans="2:11" s="38" customFormat="1" outlineLevel="1">
      <c r="B1096" s="71"/>
      <c r="C1096" s="50"/>
      <c r="D1096" s="51"/>
      <c r="E1096" s="112"/>
      <c r="F1096" s="4"/>
      <c r="G1096" s="59">
        <f t="shared" si="26"/>
        <v>0</v>
      </c>
      <c r="K1096" s="93"/>
    </row>
    <row r="1097" spans="2:11" s="38" customFormat="1">
      <c r="B1097" s="71" t="s">
        <v>1121</v>
      </c>
      <c r="C1097" s="55" t="s">
        <v>123</v>
      </c>
      <c r="D1097" s="56"/>
      <c r="E1097" s="124">
        <v>0</v>
      </c>
      <c r="F1097" s="4"/>
      <c r="G1097" s="59">
        <f t="shared" si="26"/>
        <v>0</v>
      </c>
      <c r="K1097" s="93"/>
    </row>
    <row r="1098" spans="2:11" s="38" customFormat="1" ht="140.25" outlineLevel="1">
      <c r="B1098" s="71" t="s">
        <v>1122</v>
      </c>
      <c r="C1098" s="138" t="s">
        <v>361</v>
      </c>
      <c r="D1098" s="51" t="s">
        <v>75</v>
      </c>
      <c r="E1098" s="112">
        <v>4.1900000000000004</v>
      </c>
      <c r="F1098" s="4"/>
      <c r="G1098" s="59">
        <f t="shared" si="26"/>
        <v>0</v>
      </c>
      <c r="K1098" s="93"/>
    </row>
    <row r="1099" spans="2:11" s="38" customFormat="1" ht="218.25" customHeight="1" outlineLevel="1">
      <c r="B1099" s="71" t="s">
        <v>1123</v>
      </c>
      <c r="C1099" s="138" t="s">
        <v>363</v>
      </c>
      <c r="D1099" s="51" t="s">
        <v>75</v>
      </c>
      <c r="E1099" s="112">
        <v>3.83</v>
      </c>
      <c r="F1099" s="4"/>
      <c r="G1099" s="59">
        <f t="shared" si="26"/>
        <v>0</v>
      </c>
      <c r="K1099" s="93"/>
    </row>
    <row r="1100" spans="2:11" s="38" customFormat="1" ht="144" customHeight="1" outlineLevel="1">
      <c r="B1100" s="71" t="s">
        <v>1124</v>
      </c>
      <c r="C1100" s="138" t="s">
        <v>365</v>
      </c>
      <c r="D1100" s="51" t="s">
        <v>84</v>
      </c>
      <c r="E1100" s="112">
        <v>4.18</v>
      </c>
      <c r="F1100" s="4"/>
      <c r="G1100" s="59">
        <f t="shared" si="26"/>
        <v>0</v>
      </c>
      <c r="K1100" s="93"/>
    </row>
    <row r="1101" spans="2:11" s="38" customFormat="1" ht="105" customHeight="1" outlineLevel="1">
      <c r="B1101" s="71" t="s">
        <v>1125</v>
      </c>
      <c r="C1101" s="138" t="s">
        <v>254</v>
      </c>
      <c r="D1101" s="51" t="s">
        <v>75</v>
      </c>
      <c r="E1101" s="112">
        <v>6.42</v>
      </c>
      <c r="F1101" s="4"/>
      <c r="G1101" s="59">
        <f t="shared" si="26"/>
        <v>0</v>
      </c>
      <c r="K1101" s="93"/>
    </row>
    <row r="1102" spans="2:11" s="38" customFormat="1" ht="99" customHeight="1" outlineLevel="1">
      <c r="B1102" s="71" t="s">
        <v>255</v>
      </c>
      <c r="C1102" s="138" t="s">
        <v>452</v>
      </c>
      <c r="D1102" s="51" t="s">
        <v>75</v>
      </c>
      <c r="E1102" s="112">
        <v>2.85</v>
      </c>
      <c r="F1102" s="4"/>
      <c r="G1102" s="59">
        <f t="shared" si="26"/>
        <v>0</v>
      </c>
      <c r="K1102" s="93"/>
    </row>
    <row r="1103" spans="2:11" s="38" customFormat="1" ht="89.25" outlineLevel="1">
      <c r="B1103" s="71" t="s">
        <v>257</v>
      </c>
      <c r="C1103" s="138" t="s">
        <v>370</v>
      </c>
      <c r="D1103" s="51" t="s">
        <v>75</v>
      </c>
      <c r="E1103" s="112">
        <v>3.83</v>
      </c>
      <c r="F1103" s="4"/>
      <c r="G1103" s="59">
        <f t="shared" si="26"/>
        <v>0</v>
      </c>
      <c r="K1103" s="93"/>
    </row>
    <row r="1104" spans="2:11" s="38" customFormat="1" ht="80.25" customHeight="1" outlineLevel="1">
      <c r="B1104" s="71" t="s">
        <v>259</v>
      </c>
      <c r="C1104" s="138" t="s">
        <v>260</v>
      </c>
      <c r="D1104" s="51" t="s">
        <v>75</v>
      </c>
      <c r="E1104" s="112">
        <v>6.1</v>
      </c>
      <c r="F1104" s="4"/>
      <c r="G1104" s="59">
        <f t="shared" si="26"/>
        <v>0</v>
      </c>
      <c r="K1104" s="93"/>
    </row>
    <row r="1105" spans="2:11" s="38" customFormat="1" ht="65.25" customHeight="1" outlineLevel="1">
      <c r="B1105" s="71" t="s">
        <v>261</v>
      </c>
      <c r="C1105" s="138" t="s">
        <v>139</v>
      </c>
      <c r="D1105" s="51" t="s">
        <v>140</v>
      </c>
      <c r="E1105" s="112">
        <v>1</v>
      </c>
      <c r="F1105" s="4"/>
      <c r="G1105" s="59">
        <f t="shared" si="26"/>
        <v>0</v>
      </c>
      <c r="K1105" s="93"/>
    </row>
    <row r="1106" spans="2:11" s="38" customFormat="1" ht="95.25" customHeight="1" outlineLevel="1">
      <c r="B1106" s="71" t="s">
        <v>262</v>
      </c>
      <c r="C1106" s="138" t="s">
        <v>263</v>
      </c>
      <c r="D1106" s="51" t="s">
        <v>84</v>
      </c>
      <c r="E1106" s="112">
        <v>3.33</v>
      </c>
      <c r="F1106" s="4"/>
      <c r="G1106" s="59">
        <f t="shared" si="26"/>
        <v>0</v>
      </c>
      <c r="K1106" s="93"/>
    </row>
    <row r="1107" spans="2:11" s="38" customFormat="1" ht="91.5" customHeight="1" outlineLevel="1">
      <c r="B1107" s="71" t="s">
        <v>264</v>
      </c>
      <c r="C1107" s="138" t="s">
        <v>265</v>
      </c>
      <c r="D1107" s="51" t="s">
        <v>84</v>
      </c>
      <c r="E1107" s="112">
        <v>9.3000000000000007</v>
      </c>
      <c r="F1107" s="4"/>
      <c r="G1107" s="59">
        <f t="shared" si="26"/>
        <v>0</v>
      </c>
      <c r="K1107" s="93"/>
    </row>
    <row r="1108" spans="2:11" s="38" customFormat="1">
      <c r="B1108" s="71" t="s">
        <v>1126</v>
      </c>
      <c r="C1108" s="55" t="s">
        <v>146</v>
      </c>
      <c r="D1108" s="56"/>
      <c r="E1108" s="124">
        <v>0</v>
      </c>
      <c r="F1108" s="4"/>
      <c r="G1108" s="59">
        <f t="shared" si="26"/>
        <v>0</v>
      </c>
      <c r="K1108" s="93"/>
    </row>
    <row r="1109" spans="2:11" s="38" customFormat="1" ht="177" customHeight="1" outlineLevel="1">
      <c r="B1109" s="127" t="s">
        <v>1127</v>
      </c>
      <c r="C1109" s="139" t="s">
        <v>2637</v>
      </c>
      <c r="D1109" s="51" t="s">
        <v>140</v>
      </c>
      <c r="E1109" s="112">
        <v>1</v>
      </c>
      <c r="F1109" s="4"/>
      <c r="G1109" s="59">
        <f t="shared" si="26"/>
        <v>0</v>
      </c>
      <c r="K1109" s="93"/>
    </row>
    <row r="1110" spans="2:11" s="38" customFormat="1" ht="186" customHeight="1" outlineLevel="1">
      <c r="B1110" s="127" t="s">
        <v>1128</v>
      </c>
      <c r="C1110" s="139" t="s">
        <v>269</v>
      </c>
      <c r="D1110" s="51" t="s">
        <v>140</v>
      </c>
      <c r="E1110" s="112">
        <v>1</v>
      </c>
      <c r="F1110" s="4"/>
      <c r="G1110" s="59">
        <f t="shared" si="26"/>
        <v>0</v>
      </c>
      <c r="K1110" s="93"/>
    </row>
    <row r="1111" spans="2:11" s="38" customFormat="1">
      <c r="B1111" s="71" t="s">
        <v>1129</v>
      </c>
      <c r="C1111" s="55" t="s">
        <v>151</v>
      </c>
      <c r="D1111" s="56"/>
      <c r="E1111" s="124">
        <v>0</v>
      </c>
      <c r="F1111" s="4"/>
      <c r="G1111" s="59">
        <f t="shared" si="26"/>
        <v>0</v>
      </c>
      <c r="K1111" s="93"/>
    </row>
    <row r="1112" spans="2:11" s="38" customFormat="1" ht="52.5" customHeight="1" outlineLevel="1">
      <c r="B1112" s="71" t="s">
        <v>1130</v>
      </c>
      <c r="C1112" s="138" t="s">
        <v>153</v>
      </c>
      <c r="D1112" s="51" t="s">
        <v>140</v>
      </c>
      <c r="E1112" s="112">
        <v>1</v>
      </c>
      <c r="F1112" s="13"/>
      <c r="G1112" s="59">
        <f t="shared" si="26"/>
        <v>0</v>
      </c>
      <c r="K1112" s="93"/>
    </row>
    <row r="1113" spans="2:11" s="38" customFormat="1" ht="57.75" customHeight="1" outlineLevel="1">
      <c r="B1113" s="71" t="s">
        <v>1131</v>
      </c>
      <c r="C1113" s="138" t="s">
        <v>155</v>
      </c>
      <c r="D1113" s="51" t="s">
        <v>140</v>
      </c>
      <c r="E1113" s="112">
        <v>1</v>
      </c>
      <c r="F1113" s="13"/>
      <c r="G1113" s="59">
        <f t="shared" si="26"/>
        <v>0</v>
      </c>
      <c r="K1113" s="93"/>
    </row>
    <row r="1114" spans="2:11" s="38" customFormat="1">
      <c r="B1114" s="71" t="s">
        <v>1132</v>
      </c>
      <c r="C1114" s="55" t="s">
        <v>157</v>
      </c>
      <c r="D1114" s="56"/>
      <c r="E1114" s="124">
        <v>0</v>
      </c>
      <c r="F1114" s="4">
        <v>0</v>
      </c>
      <c r="G1114" s="59">
        <f t="shared" si="26"/>
        <v>0</v>
      </c>
      <c r="K1114" s="93"/>
    </row>
    <row r="1115" spans="2:11" s="38" customFormat="1" ht="56.25" customHeight="1" outlineLevel="1">
      <c r="B1115" s="98"/>
      <c r="C1115" s="138" t="s">
        <v>158</v>
      </c>
      <c r="D1115" s="51"/>
      <c r="E1115" s="112"/>
      <c r="F1115" s="4"/>
      <c r="G1115" s="59">
        <f t="shared" si="26"/>
        <v>0</v>
      </c>
      <c r="K1115" s="93"/>
    </row>
    <row r="1116" spans="2:11" s="38" customFormat="1" ht="34.5" customHeight="1" outlineLevel="1">
      <c r="B1116" s="71" t="s">
        <v>1133</v>
      </c>
      <c r="C1116" s="138" t="s">
        <v>160</v>
      </c>
      <c r="D1116" s="51" t="s">
        <v>140</v>
      </c>
      <c r="E1116" s="112">
        <v>1</v>
      </c>
      <c r="F1116" s="4"/>
      <c r="G1116" s="59">
        <f t="shared" si="26"/>
        <v>0</v>
      </c>
      <c r="K1116" s="100"/>
    </row>
    <row r="1117" spans="2:11" s="38" customFormat="1" ht="38.25" outlineLevel="1">
      <c r="B1117" s="71" t="s">
        <v>1134</v>
      </c>
      <c r="C1117" s="138" t="s">
        <v>162</v>
      </c>
      <c r="D1117" s="51" t="s">
        <v>140</v>
      </c>
      <c r="E1117" s="112">
        <v>1</v>
      </c>
      <c r="F1117" s="4"/>
      <c r="G1117" s="59">
        <f t="shared" si="26"/>
        <v>0</v>
      </c>
      <c r="K1117" s="100"/>
    </row>
    <row r="1118" spans="2:11" s="38" customFormat="1" ht="51" outlineLevel="1">
      <c r="B1118" s="71" t="s">
        <v>1135</v>
      </c>
      <c r="C1118" s="138" t="s">
        <v>164</v>
      </c>
      <c r="D1118" s="51" t="s">
        <v>140</v>
      </c>
      <c r="E1118" s="112">
        <v>1</v>
      </c>
      <c r="F1118" s="4"/>
      <c r="G1118" s="59">
        <f t="shared" si="26"/>
        <v>0</v>
      </c>
      <c r="K1118" s="100"/>
    </row>
    <row r="1119" spans="2:11" s="38" customFormat="1" ht="140.25" outlineLevel="1">
      <c r="B1119" s="71" t="s">
        <v>1136</v>
      </c>
      <c r="C1119" s="138" t="s">
        <v>166</v>
      </c>
      <c r="D1119" s="51" t="s">
        <v>140</v>
      </c>
      <c r="E1119" s="112">
        <v>1</v>
      </c>
      <c r="F1119" s="4"/>
      <c r="G1119" s="59">
        <f t="shared" si="26"/>
        <v>0</v>
      </c>
      <c r="K1119" s="100"/>
    </row>
    <row r="1120" spans="2:11" s="38" customFormat="1" ht="110.25" customHeight="1" outlineLevel="1">
      <c r="B1120" s="71" t="s">
        <v>1137</v>
      </c>
      <c r="C1120" s="138" t="s">
        <v>168</v>
      </c>
      <c r="D1120" s="51" t="s">
        <v>140</v>
      </c>
      <c r="E1120" s="112">
        <v>1</v>
      </c>
      <c r="F1120" s="4"/>
      <c r="G1120" s="59">
        <f t="shared" si="26"/>
        <v>0</v>
      </c>
      <c r="K1120" s="100"/>
    </row>
    <row r="1121" spans="2:11" s="38" customFormat="1" ht="63" customHeight="1" outlineLevel="1">
      <c r="B1121" s="71" t="s">
        <v>1138</v>
      </c>
      <c r="C1121" s="138" t="s">
        <v>170</v>
      </c>
      <c r="D1121" s="51" t="s">
        <v>140</v>
      </c>
      <c r="E1121" s="112">
        <v>1</v>
      </c>
      <c r="F1121" s="4"/>
      <c r="G1121" s="59">
        <f t="shared" si="26"/>
        <v>0</v>
      </c>
      <c r="K1121" s="100"/>
    </row>
    <row r="1122" spans="2:11" s="38" customFormat="1" ht="63" customHeight="1" outlineLevel="1">
      <c r="B1122" s="71" t="s">
        <v>1139</v>
      </c>
      <c r="C1122" s="138" t="s">
        <v>172</v>
      </c>
      <c r="D1122" s="51" t="s">
        <v>140</v>
      </c>
      <c r="E1122" s="112">
        <v>1</v>
      </c>
      <c r="F1122" s="4"/>
      <c r="G1122" s="59">
        <f t="shared" si="26"/>
        <v>0</v>
      </c>
      <c r="K1122" s="100"/>
    </row>
    <row r="1123" spans="2:11" s="38" customFormat="1" ht="51.75" customHeight="1" outlineLevel="1">
      <c r="B1123" s="71" t="s">
        <v>1140</v>
      </c>
      <c r="C1123" s="138" t="s">
        <v>174</v>
      </c>
      <c r="D1123" s="51" t="s">
        <v>140</v>
      </c>
      <c r="E1123" s="112">
        <v>1</v>
      </c>
      <c r="F1123" s="4"/>
      <c r="G1123" s="59">
        <f t="shared" si="26"/>
        <v>0</v>
      </c>
      <c r="K1123" s="100"/>
    </row>
    <row r="1124" spans="2:11" s="38" customFormat="1" ht="51.75" customHeight="1" outlineLevel="1">
      <c r="B1124" s="71" t="s">
        <v>1141</v>
      </c>
      <c r="C1124" s="138" t="s">
        <v>2638</v>
      </c>
      <c r="D1124" s="51" t="s">
        <v>140</v>
      </c>
      <c r="E1124" s="112">
        <v>1</v>
      </c>
      <c r="F1124" s="4"/>
      <c r="G1124" s="59">
        <f t="shared" si="26"/>
        <v>0</v>
      </c>
      <c r="K1124" s="100"/>
    </row>
    <row r="1125" spans="2:11" s="38" customFormat="1" ht="51" customHeight="1" outlineLevel="1">
      <c r="B1125" s="71" t="s">
        <v>1142</v>
      </c>
      <c r="C1125" s="138" t="s">
        <v>177</v>
      </c>
      <c r="D1125" s="51" t="s">
        <v>140</v>
      </c>
      <c r="E1125" s="112">
        <v>1</v>
      </c>
      <c r="F1125" s="4"/>
      <c r="G1125" s="59">
        <f t="shared" si="26"/>
        <v>0</v>
      </c>
      <c r="K1125" s="100"/>
    </row>
    <row r="1126" spans="2:11" s="38" customFormat="1" ht="81" customHeight="1" outlineLevel="1">
      <c r="B1126" s="71" t="s">
        <v>1143</v>
      </c>
      <c r="C1126" s="138" t="s">
        <v>179</v>
      </c>
      <c r="D1126" s="51" t="s">
        <v>140</v>
      </c>
      <c r="E1126" s="112">
        <v>1</v>
      </c>
      <c r="F1126" s="4"/>
      <c r="G1126" s="59">
        <f t="shared" si="26"/>
        <v>0</v>
      </c>
      <c r="K1126" s="100"/>
    </row>
    <row r="1127" spans="2:11" s="38" customFormat="1" ht="65.25" customHeight="1" outlineLevel="1">
      <c r="B1127" s="71" t="s">
        <v>1144</v>
      </c>
      <c r="C1127" s="138" t="s">
        <v>181</v>
      </c>
      <c r="D1127" s="51" t="s">
        <v>140</v>
      </c>
      <c r="E1127" s="112">
        <v>1</v>
      </c>
      <c r="F1127" s="4"/>
      <c r="G1127" s="59">
        <f t="shared" si="26"/>
        <v>0</v>
      </c>
      <c r="K1127" s="100"/>
    </row>
    <row r="1128" spans="2:11" s="38" customFormat="1" ht="23.25" customHeight="1" outlineLevel="1">
      <c r="B1128" s="71" t="s">
        <v>1145</v>
      </c>
      <c r="C1128" s="138" t="s">
        <v>183</v>
      </c>
      <c r="D1128" s="51" t="s">
        <v>140</v>
      </c>
      <c r="E1128" s="112">
        <v>1</v>
      </c>
      <c r="F1128" s="4"/>
      <c r="G1128" s="59">
        <f t="shared" si="26"/>
        <v>0</v>
      </c>
      <c r="K1128" s="100"/>
    </row>
    <row r="1129" spans="2:11" s="38" customFormat="1" ht="38.25" outlineLevel="1">
      <c r="B1129" s="71" t="s">
        <v>1146</v>
      </c>
      <c r="C1129" s="138" t="s">
        <v>185</v>
      </c>
      <c r="D1129" s="51" t="s">
        <v>140</v>
      </c>
      <c r="E1129" s="112">
        <v>2</v>
      </c>
      <c r="F1129" s="4">
        <v>0</v>
      </c>
      <c r="G1129" s="59">
        <f t="shared" si="26"/>
        <v>0</v>
      </c>
      <c r="K1129" s="100"/>
    </row>
    <row r="1130" spans="2:11" s="38" customFormat="1" ht="38.25" outlineLevel="1">
      <c r="B1130" s="71" t="s">
        <v>1147</v>
      </c>
      <c r="C1130" s="138" t="s">
        <v>187</v>
      </c>
      <c r="D1130" s="51" t="s">
        <v>140</v>
      </c>
      <c r="E1130" s="112">
        <v>1</v>
      </c>
      <c r="F1130" s="4">
        <v>0</v>
      </c>
      <c r="G1130" s="59">
        <f t="shared" ref="G1130:G1138" si="27">E1130*F1130</f>
        <v>0</v>
      </c>
      <c r="K1130" s="100"/>
    </row>
    <row r="1131" spans="2:11" s="38" customFormat="1" ht="38.25" outlineLevel="1">
      <c r="B1131" s="71" t="s">
        <v>1148</v>
      </c>
      <c r="C1131" s="138" t="s">
        <v>189</v>
      </c>
      <c r="D1131" s="51" t="s">
        <v>140</v>
      </c>
      <c r="E1131" s="112">
        <v>2</v>
      </c>
      <c r="F1131" s="4">
        <v>0</v>
      </c>
      <c r="G1131" s="59">
        <f t="shared" si="27"/>
        <v>0</v>
      </c>
      <c r="K1131" s="100"/>
    </row>
    <row r="1132" spans="2:11" s="38" customFormat="1" ht="25.5" outlineLevel="1">
      <c r="B1132" s="71" t="s">
        <v>1149</v>
      </c>
      <c r="C1132" s="138" t="s">
        <v>191</v>
      </c>
      <c r="D1132" s="51" t="s">
        <v>140</v>
      </c>
      <c r="E1132" s="112">
        <v>1</v>
      </c>
      <c r="F1132" s="4">
        <v>0</v>
      </c>
      <c r="G1132" s="59">
        <f t="shared" si="27"/>
        <v>0</v>
      </c>
      <c r="K1132" s="100"/>
    </row>
    <row r="1133" spans="2:11" s="38" customFormat="1" ht="51" outlineLevel="1">
      <c r="B1133" s="71" t="s">
        <v>1150</v>
      </c>
      <c r="C1133" s="138" t="s">
        <v>193</v>
      </c>
      <c r="D1133" s="51" t="s">
        <v>140</v>
      </c>
      <c r="E1133" s="112">
        <v>1</v>
      </c>
      <c r="F1133" s="4"/>
      <c r="G1133" s="59">
        <f t="shared" si="27"/>
        <v>0</v>
      </c>
      <c r="K1133" s="100"/>
    </row>
    <row r="1134" spans="2:11" s="38" customFormat="1" ht="153" outlineLevel="1">
      <c r="B1134" s="71" t="s">
        <v>1151</v>
      </c>
      <c r="C1134" s="138" t="s">
        <v>195</v>
      </c>
      <c r="D1134" s="51" t="s">
        <v>140</v>
      </c>
      <c r="E1134" s="112">
        <v>1</v>
      </c>
      <c r="F1134" s="4">
        <v>0</v>
      </c>
      <c r="G1134" s="59">
        <f t="shared" si="27"/>
        <v>0</v>
      </c>
      <c r="K1134" s="100"/>
    </row>
    <row r="1135" spans="2:11" s="38" customFormat="1" ht="81.75" customHeight="1" outlineLevel="1">
      <c r="B1135" s="71" t="s">
        <v>1152</v>
      </c>
      <c r="C1135" s="138" t="s">
        <v>197</v>
      </c>
      <c r="D1135" s="51" t="s">
        <v>140</v>
      </c>
      <c r="E1135" s="112">
        <v>1</v>
      </c>
      <c r="F1135" s="4"/>
      <c r="G1135" s="59">
        <f t="shared" si="27"/>
        <v>0</v>
      </c>
      <c r="K1135" s="100"/>
    </row>
    <row r="1136" spans="2:11" s="38" customFormat="1" ht="84" customHeight="1" outlineLevel="1">
      <c r="B1136" s="71" t="s">
        <v>1153</v>
      </c>
      <c r="C1136" s="132" t="s">
        <v>2632</v>
      </c>
      <c r="D1136" s="51" t="s">
        <v>140</v>
      </c>
      <c r="E1136" s="112">
        <v>1</v>
      </c>
      <c r="F1136" s="4"/>
      <c r="G1136" s="59">
        <f t="shared" si="27"/>
        <v>0</v>
      </c>
      <c r="K1136" s="93"/>
    </row>
    <row r="1137" spans="2:11" s="38" customFormat="1" ht="108.75" customHeight="1" outlineLevel="1">
      <c r="B1137" s="71" t="s">
        <v>1154</v>
      </c>
      <c r="C1137" s="138" t="s">
        <v>1155</v>
      </c>
      <c r="D1137" s="51" t="s">
        <v>140</v>
      </c>
      <c r="E1137" s="112">
        <v>1</v>
      </c>
      <c r="F1137" s="4"/>
      <c r="G1137" s="59">
        <f t="shared" si="27"/>
        <v>0</v>
      </c>
      <c r="K1137" s="93"/>
    </row>
    <row r="1138" spans="2:11" s="38" customFormat="1">
      <c r="B1138" s="71" t="s">
        <v>1156</v>
      </c>
      <c r="C1138" s="55" t="s">
        <v>202</v>
      </c>
      <c r="D1138" s="56"/>
      <c r="E1138" s="124">
        <v>0</v>
      </c>
      <c r="F1138" s="4"/>
      <c r="G1138" s="59">
        <f t="shared" si="27"/>
        <v>0</v>
      </c>
      <c r="K1138" s="100"/>
    </row>
    <row r="1139" spans="2:11" s="38" customFormat="1" ht="63.75" outlineLevel="1">
      <c r="B1139" s="71" t="s">
        <v>1157</v>
      </c>
      <c r="C1139" s="138" t="s">
        <v>314</v>
      </c>
      <c r="D1139" s="51" t="s">
        <v>84</v>
      </c>
      <c r="E1139" s="112">
        <v>2.2999999999999998</v>
      </c>
      <c r="F1139" s="4"/>
      <c r="G1139" s="59">
        <f>E1139*F1139</f>
        <v>0</v>
      </c>
      <c r="K1139" s="100"/>
    </row>
    <row r="1140" spans="2:11" s="38" customFormat="1">
      <c r="B1140" s="71"/>
      <c r="C1140" s="55"/>
      <c r="D1140" s="56"/>
      <c r="E1140" s="124"/>
      <c r="F1140" s="4"/>
      <c r="G1140" s="4"/>
      <c r="K1140" s="100"/>
    </row>
    <row r="1141" spans="2:11" s="38" customFormat="1">
      <c r="B1141" s="72" t="s">
        <v>1158</v>
      </c>
      <c r="C1141" s="52"/>
      <c r="D1141" s="15"/>
      <c r="E1141" s="122"/>
      <c r="F1141" s="54"/>
      <c r="G1141" s="58">
        <f>SUM(G1066:G1139)</f>
        <v>0</v>
      </c>
      <c r="K1141" s="93"/>
    </row>
    <row r="1142" spans="2:11" s="38" customFormat="1" outlineLevel="1">
      <c r="B1142" s="71"/>
      <c r="C1142" s="50"/>
      <c r="D1142" s="51"/>
      <c r="E1142" s="112"/>
      <c r="F1142" s="4"/>
      <c r="G1142" s="59"/>
      <c r="K1142" s="100"/>
    </row>
    <row r="1143" spans="2:11" s="38" customFormat="1">
      <c r="B1143" s="114" t="s">
        <v>1159</v>
      </c>
      <c r="C1143" s="52"/>
      <c r="D1143" s="15"/>
      <c r="E1143" s="122"/>
      <c r="F1143" s="54"/>
      <c r="G1143" s="58"/>
      <c r="K1143" s="93"/>
    </row>
    <row r="1144" spans="2:11" s="38" customFormat="1" ht="38.25">
      <c r="B1144" s="116"/>
      <c r="C1144" s="55" t="s">
        <v>207</v>
      </c>
      <c r="D1144" s="11" t="s">
        <v>140</v>
      </c>
      <c r="E1144" s="121">
        <v>30</v>
      </c>
      <c r="F1144" s="13"/>
      <c r="G1144" s="113">
        <f>G1141*E1144</f>
        <v>0</v>
      </c>
      <c r="K1144" s="93"/>
    </row>
    <row r="1145" spans="2:11" s="38" customFormat="1">
      <c r="B1145" s="116"/>
      <c r="C1145" s="55"/>
      <c r="D1145" s="11"/>
      <c r="E1145" s="121"/>
      <c r="F1145" s="13"/>
      <c r="G1145" s="113"/>
      <c r="K1145" s="93"/>
    </row>
    <row r="1146" spans="2:11" s="38" customFormat="1">
      <c r="B1146" s="72">
        <v>3.14</v>
      </c>
      <c r="C1146" s="70" t="s">
        <v>1160</v>
      </c>
      <c r="D1146" s="49"/>
      <c r="E1146" s="123">
        <v>0</v>
      </c>
      <c r="F1146" s="54">
        <v>0</v>
      </c>
      <c r="G1146" s="58"/>
      <c r="K1146" s="93"/>
    </row>
    <row r="1147" spans="2:11" s="38" customFormat="1">
      <c r="B1147" s="116"/>
      <c r="C1147" s="55"/>
      <c r="D1147" s="56"/>
      <c r="E1147" s="124"/>
      <c r="F1147" s="13"/>
      <c r="G1147" s="113"/>
      <c r="K1147" s="93"/>
    </row>
    <row r="1148" spans="2:11" s="38" customFormat="1" ht="45" customHeight="1">
      <c r="B1148" s="116"/>
      <c r="C1148" s="50" t="s">
        <v>60</v>
      </c>
      <c r="D1148" s="56"/>
      <c r="E1148" s="124"/>
      <c r="F1148" s="13"/>
      <c r="G1148" s="59">
        <f t="shared" ref="G1148:G1211" si="28">E1148*F1148</f>
        <v>0</v>
      </c>
      <c r="K1148" s="93"/>
    </row>
    <row r="1149" spans="2:11" s="38" customFormat="1">
      <c r="B1149" s="116"/>
      <c r="C1149" s="55"/>
      <c r="D1149" s="56"/>
      <c r="E1149" s="124"/>
      <c r="F1149" s="13"/>
      <c r="G1149" s="59">
        <f t="shared" si="28"/>
        <v>0</v>
      </c>
      <c r="K1149" s="93"/>
    </row>
    <row r="1150" spans="2:11" s="38" customFormat="1">
      <c r="B1150" s="71" t="s">
        <v>1161</v>
      </c>
      <c r="C1150" s="55" t="s">
        <v>62</v>
      </c>
      <c r="D1150" s="56"/>
      <c r="E1150" s="124">
        <v>0</v>
      </c>
      <c r="F1150" s="13">
        <v>0</v>
      </c>
      <c r="G1150" s="59">
        <f t="shared" si="28"/>
        <v>0</v>
      </c>
      <c r="K1150" s="93"/>
    </row>
    <row r="1151" spans="2:11" s="38" customFormat="1" ht="198" customHeight="1" outlineLevel="1">
      <c r="B1151" s="71" t="s">
        <v>1162</v>
      </c>
      <c r="C1151" s="138" t="s">
        <v>64</v>
      </c>
      <c r="D1151" s="51" t="s">
        <v>38</v>
      </c>
      <c r="E1151" s="112">
        <v>1</v>
      </c>
      <c r="F1151" s="4"/>
      <c r="G1151" s="59">
        <f t="shared" si="28"/>
        <v>0</v>
      </c>
      <c r="K1151" s="93"/>
    </row>
    <row r="1152" spans="2:11" s="38" customFormat="1">
      <c r="B1152" s="71" t="s">
        <v>1163</v>
      </c>
      <c r="C1152" s="55" t="s">
        <v>66</v>
      </c>
      <c r="D1152" s="56"/>
      <c r="E1152" s="124">
        <v>0</v>
      </c>
      <c r="F1152" s="13"/>
      <c r="G1152" s="59">
        <f t="shared" si="28"/>
        <v>0</v>
      </c>
      <c r="K1152" s="93"/>
    </row>
    <row r="1153" spans="2:11" s="38" customFormat="1" ht="49.5" customHeight="1" outlineLevel="1">
      <c r="B1153" s="71" t="s">
        <v>1164</v>
      </c>
      <c r="C1153" s="138" t="s">
        <v>68</v>
      </c>
      <c r="D1153" s="51" t="s">
        <v>38</v>
      </c>
      <c r="E1153" s="112">
        <v>1</v>
      </c>
      <c r="F1153" s="4"/>
      <c r="G1153" s="59">
        <f t="shared" si="28"/>
        <v>0</v>
      </c>
      <c r="K1153" s="100"/>
    </row>
    <row r="1154" spans="2:11" s="38" customFormat="1" ht="77.25" customHeight="1" outlineLevel="1">
      <c r="B1154" s="71" t="s">
        <v>1165</v>
      </c>
      <c r="C1154" s="138" t="s">
        <v>70</v>
      </c>
      <c r="D1154" s="51" t="s">
        <v>38</v>
      </c>
      <c r="E1154" s="112">
        <v>1</v>
      </c>
      <c r="F1154" s="4"/>
      <c r="G1154" s="59">
        <f t="shared" si="28"/>
        <v>0</v>
      </c>
      <c r="K1154" s="100"/>
    </row>
    <row r="1155" spans="2:11" s="38" customFormat="1">
      <c r="B1155" s="71" t="s">
        <v>1166</v>
      </c>
      <c r="C1155" s="55" t="s">
        <v>72</v>
      </c>
      <c r="D1155" s="56"/>
      <c r="E1155" s="124">
        <v>0</v>
      </c>
      <c r="F1155" s="4">
        <v>0</v>
      </c>
      <c r="G1155" s="59">
        <f t="shared" si="28"/>
        <v>0</v>
      </c>
      <c r="K1155" s="93"/>
    </row>
    <row r="1156" spans="2:11" s="38" customFormat="1" ht="117.75" customHeight="1" outlineLevel="1">
      <c r="B1156" s="71" t="s">
        <v>1167</v>
      </c>
      <c r="C1156" s="138" t="s">
        <v>324</v>
      </c>
      <c r="D1156" s="51" t="s">
        <v>75</v>
      </c>
      <c r="E1156" s="112">
        <v>27.85</v>
      </c>
      <c r="F1156" s="4"/>
      <c r="G1156" s="59">
        <f t="shared" si="28"/>
        <v>0</v>
      </c>
      <c r="K1156" s="93"/>
    </row>
    <row r="1157" spans="2:11" s="38" customFormat="1" ht="75.75" customHeight="1" outlineLevel="1">
      <c r="B1157" s="71" t="s">
        <v>1168</v>
      </c>
      <c r="C1157" s="138" t="s">
        <v>77</v>
      </c>
      <c r="D1157" s="51" t="s">
        <v>75</v>
      </c>
      <c r="E1157" s="112">
        <v>13.73</v>
      </c>
      <c r="F1157" s="4"/>
      <c r="G1157" s="59">
        <f t="shared" si="28"/>
        <v>0</v>
      </c>
      <c r="K1157" s="93"/>
    </row>
    <row r="1158" spans="2:11" s="38" customFormat="1" ht="74.25" customHeight="1" outlineLevel="1">
      <c r="B1158" s="71" t="s">
        <v>1169</v>
      </c>
      <c r="C1158" s="138" t="s">
        <v>327</v>
      </c>
      <c r="D1158" s="51" t="s">
        <v>75</v>
      </c>
      <c r="E1158" s="112">
        <v>33.11</v>
      </c>
      <c r="F1158" s="57"/>
      <c r="G1158" s="59">
        <f t="shared" si="28"/>
        <v>0</v>
      </c>
      <c r="K1158" s="93"/>
    </row>
    <row r="1159" spans="2:11" s="38" customFormat="1" ht="108" customHeight="1" outlineLevel="1">
      <c r="B1159" s="71" t="s">
        <v>1170</v>
      </c>
      <c r="C1159" s="138" t="s">
        <v>329</v>
      </c>
      <c r="D1159" s="51" t="s">
        <v>75</v>
      </c>
      <c r="E1159" s="112">
        <v>3.77</v>
      </c>
      <c r="F1159" s="4"/>
      <c r="G1159" s="59">
        <f t="shared" si="28"/>
        <v>0</v>
      </c>
      <c r="K1159" s="93"/>
    </row>
    <row r="1160" spans="2:11" s="38" customFormat="1" ht="70.5" customHeight="1" outlineLevel="1">
      <c r="B1160" s="71" t="s">
        <v>1171</v>
      </c>
      <c r="C1160" s="138" t="s">
        <v>331</v>
      </c>
      <c r="D1160" s="51" t="s">
        <v>84</v>
      </c>
      <c r="E1160" s="112">
        <v>1.8</v>
      </c>
      <c r="F1160" s="4"/>
      <c r="G1160" s="59">
        <f t="shared" si="28"/>
        <v>0</v>
      </c>
      <c r="K1160" s="93"/>
    </row>
    <row r="1161" spans="2:11" s="38" customFormat="1" ht="42" customHeight="1" outlineLevel="1">
      <c r="B1161" s="71" t="s">
        <v>1172</v>
      </c>
      <c r="C1161" s="138" t="s">
        <v>221</v>
      </c>
      <c r="D1161" s="51" t="s">
        <v>84</v>
      </c>
      <c r="E1161" s="112">
        <v>94.67</v>
      </c>
      <c r="F1161" s="4"/>
      <c r="G1161" s="59">
        <f t="shared" si="28"/>
        <v>0</v>
      </c>
      <c r="K1161" s="93"/>
    </row>
    <row r="1162" spans="2:11" s="38" customFormat="1" ht="38.25" outlineLevel="1">
      <c r="B1162" s="71" t="s">
        <v>1173</v>
      </c>
      <c r="C1162" s="138" t="s">
        <v>223</v>
      </c>
      <c r="D1162" s="51" t="s">
        <v>84</v>
      </c>
      <c r="E1162" s="112">
        <v>3.24</v>
      </c>
      <c r="F1162" s="4"/>
      <c r="G1162" s="59">
        <f t="shared" si="28"/>
        <v>0</v>
      </c>
      <c r="K1162" s="93"/>
    </row>
    <row r="1163" spans="2:11" s="38" customFormat="1" ht="114.75" outlineLevel="1">
      <c r="B1163" s="71" t="s">
        <v>1174</v>
      </c>
      <c r="C1163" s="139" t="s">
        <v>335</v>
      </c>
      <c r="D1163" s="51" t="s">
        <v>91</v>
      </c>
      <c r="E1163" s="112">
        <v>1</v>
      </c>
      <c r="F1163" s="4"/>
      <c r="G1163" s="59">
        <f t="shared" si="28"/>
        <v>0</v>
      </c>
      <c r="K1163" s="93"/>
    </row>
    <row r="1164" spans="2:11" s="38" customFormat="1">
      <c r="B1164" s="71" t="s">
        <v>1175</v>
      </c>
      <c r="C1164" s="55" t="s">
        <v>93</v>
      </c>
      <c r="D1164" s="56"/>
      <c r="E1164" s="124">
        <v>0</v>
      </c>
      <c r="F1164" s="4">
        <v>0</v>
      </c>
      <c r="G1164" s="59">
        <f t="shared" si="28"/>
        <v>0</v>
      </c>
      <c r="K1164" s="93"/>
    </row>
    <row r="1165" spans="2:11" s="38" customFormat="1" ht="83.25" customHeight="1" outlineLevel="1">
      <c r="B1165" s="71" t="s">
        <v>1176</v>
      </c>
      <c r="C1165" s="138" t="s">
        <v>97</v>
      </c>
      <c r="D1165" s="51" t="s">
        <v>75</v>
      </c>
      <c r="E1165" s="112">
        <v>20.350000000000001</v>
      </c>
      <c r="F1165" s="4"/>
      <c r="G1165" s="59">
        <f t="shared" si="28"/>
        <v>0</v>
      </c>
      <c r="K1165" s="93"/>
    </row>
    <row r="1166" spans="2:11" s="38" customFormat="1" ht="102" customHeight="1" outlineLevel="1">
      <c r="B1166" s="71" t="s">
        <v>1177</v>
      </c>
      <c r="C1166" s="138" t="s">
        <v>99</v>
      </c>
      <c r="D1166" s="51" t="s">
        <v>75</v>
      </c>
      <c r="E1166" s="112">
        <v>53.96</v>
      </c>
      <c r="F1166" s="4"/>
      <c r="G1166" s="59">
        <f t="shared" si="28"/>
        <v>0</v>
      </c>
      <c r="K1166" s="93"/>
    </row>
    <row r="1167" spans="2:11" s="38" customFormat="1" ht="129.75" customHeight="1" outlineLevel="1">
      <c r="B1167" s="71" t="s">
        <v>1178</v>
      </c>
      <c r="C1167" s="138" t="s">
        <v>340</v>
      </c>
      <c r="D1167" s="51" t="s">
        <v>75</v>
      </c>
      <c r="E1167" s="112">
        <v>1.9</v>
      </c>
      <c r="F1167" s="4"/>
      <c r="G1167" s="59">
        <f t="shared" si="28"/>
        <v>0</v>
      </c>
      <c r="K1167" s="93"/>
    </row>
    <row r="1168" spans="2:11" s="38" customFormat="1" ht="108.75" customHeight="1" outlineLevel="1">
      <c r="B1168" s="71" t="s">
        <v>1179</v>
      </c>
      <c r="C1168" s="138" t="s">
        <v>103</v>
      </c>
      <c r="D1168" s="115"/>
      <c r="E1168" s="112">
        <v>6.69</v>
      </c>
      <c r="G1168" s="59">
        <f t="shared" si="28"/>
        <v>0</v>
      </c>
      <c r="K1168" s="93"/>
    </row>
    <row r="1169" spans="2:11" s="38" customFormat="1" ht="187.5" customHeight="1" outlineLevel="1">
      <c r="B1169" s="71" t="s">
        <v>1180</v>
      </c>
      <c r="C1169" s="139" t="s">
        <v>343</v>
      </c>
      <c r="D1169" s="51" t="s">
        <v>75</v>
      </c>
      <c r="E1169" s="112">
        <v>5.75</v>
      </c>
      <c r="F1169" s="4"/>
      <c r="G1169" s="59">
        <f t="shared" si="28"/>
        <v>0</v>
      </c>
      <c r="K1169" s="93"/>
    </row>
    <row r="1170" spans="2:11" s="38" customFormat="1" ht="145.5" customHeight="1" outlineLevel="1">
      <c r="B1170" s="71" t="s">
        <v>1181</v>
      </c>
      <c r="C1170" s="138" t="s">
        <v>234</v>
      </c>
      <c r="D1170" s="51" t="s">
        <v>75</v>
      </c>
      <c r="E1170" s="112">
        <v>9.49</v>
      </c>
      <c r="F1170" s="4"/>
      <c r="G1170" s="59">
        <f t="shared" si="28"/>
        <v>0</v>
      </c>
      <c r="K1170" s="93"/>
    </row>
    <row r="1171" spans="2:11" s="38" customFormat="1" ht="178.5" outlineLevel="1">
      <c r="B1171" s="71" t="s">
        <v>1182</v>
      </c>
      <c r="C1171" s="139" t="s">
        <v>2617</v>
      </c>
      <c r="D1171" s="51" t="s">
        <v>75</v>
      </c>
      <c r="E1171" s="112">
        <v>0.97</v>
      </c>
      <c r="F1171" s="4"/>
      <c r="G1171" s="59">
        <f t="shared" si="28"/>
        <v>0</v>
      </c>
      <c r="K1171" s="93"/>
    </row>
    <row r="1172" spans="2:11" s="38" customFormat="1" ht="93.75" customHeight="1" outlineLevel="1">
      <c r="B1172" s="71" t="s">
        <v>1183</v>
      </c>
      <c r="C1172" s="138" t="s">
        <v>435</v>
      </c>
      <c r="D1172" s="51" t="s">
        <v>75</v>
      </c>
      <c r="E1172" s="112">
        <v>38.07</v>
      </c>
      <c r="F1172" s="4"/>
      <c r="G1172" s="59">
        <f t="shared" si="28"/>
        <v>0</v>
      </c>
      <c r="K1172" s="93"/>
    </row>
    <row r="1173" spans="2:11" s="38" customFormat="1" ht="87" customHeight="1" outlineLevel="1">
      <c r="B1173" s="71" t="s">
        <v>1184</v>
      </c>
      <c r="C1173" s="138" t="s">
        <v>437</v>
      </c>
      <c r="D1173" s="51" t="s">
        <v>75</v>
      </c>
      <c r="E1173" s="112">
        <v>9.91</v>
      </c>
      <c r="F1173" s="4"/>
      <c r="G1173" s="59">
        <f t="shared" si="28"/>
        <v>0</v>
      </c>
      <c r="K1173" s="93"/>
    </row>
    <row r="1174" spans="2:11" s="38" customFormat="1" ht="109.5" customHeight="1" outlineLevel="1">
      <c r="B1174" s="71" t="s">
        <v>1185</v>
      </c>
      <c r="C1174" s="138" t="s">
        <v>353</v>
      </c>
      <c r="D1174" s="51" t="s">
        <v>75</v>
      </c>
      <c r="E1174" s="112">
        <v>6.69</v>
      </c>
      <c r="F1174" s="4"/>
      <c r="G1174" s="59">
        <f t="shared" si="28"/>
        <v>0</v>
      </c>
      <c r="K1174" s="93"/>
    </row>
    <row r="1175" spans="2:11" s="38" customFormat="1" ht="100.5" customHeight="1" outlineLevel="1">
      <c r="B1175" s="71" t="s">
        <v>1186</v>
      </c>
      <c r="C1175" s="138" t="s">
        <v>440</v>
      </c>
      <c r="D1175" s="51" t="s">
        <v>84</v>
      </c>
      <c r="E1175" s="112">
        <v>2.38</v>
      </c>
      <c r="F1175" s="4"/>
      <c r="G1175" s="59">
        <f t="shared" si="28"/>
        <v>0</v>
      </c>
      <c r="K1175" s="93"/>
    </row>
    <row r="1176" spans="2:11" s="38" customFormat="1" ht="106.5" customHeight="1" outlineLevel="1">
      <c r="B1176" s="71" t="s">
        <v>1187</v>
      </c>
      <c r="C1176" s="138" t="s">
        <v>442</v>
      </c>
      <c r="D1176" s="51" t="s">
        <v>84</v>
      </c>
      <c r="E1176" s="112">
        <v>5.5</v>
      </c>
      <c r="F1176" s="4"/>
      <c r="G1176" s="59">
        <f t="shared" si="28"/>
        <v>0</v>
      </c>
      <c r="K1176" s="93"/>
    </row>
    <row r="1177" spans="2:11" s="38" customFormat="1" ht="102.75" customHeight="1" outlineLevel="1">
      <c r="B1177" s="71" t="s">
        <v>1188</v>
      </c>
      <c r="C1177" s="138" t="s">
        <v>248</v>
      </c>
      <c r="D1177" s="51" t="s">
        <v>84</v>
      </c>
      <c r="E1177" s="112">
        <v>11</v>
      </c>
      <c r="F1177" s="4"/>
      <c r="G1177" s="59">
        <f t="shared" si="28"/>
        <v>0</v>
      </c>
      <c r="K1177" s="93"/>
    </row>
    <row r="1178" spans="2:11" s="38" customFormat="1" outlineLevel="1">
      <c r="B1178" s="71"/>
      <c r="C1178" s="50"/>
      <c r="D1178" s="51"/>
      <c r="E1178" s="112"/>
      <c r="F1178" s="4"/>
      <c r="G1178" s="59">
        <f t="shared" si="28"/>
        <v>0</v>
      </c>
      <c r="K1178" s="93"/>
    </row>
    <row r="1179" spans="2:11" s="38" customFormat="1">
      <c r="B1179" s="71" t="s">
        <v>1189</v>
      </c>
      <c r="C1179" s="55" t="s">
        <v>123</v>
      </c>
      <c r="D1179" s="56"/>
      <c r="E1179" s="124">
        <v>0</v>
      </c>
      <c r="F1179" s="4"/>
      <c r="G1179" s="59">
        <f t="shared" si="28"/>
        <v>0</v>
      </c>
      <c r="K1179" s="93"/>
    </row>
    <row r="1180" spans="2:11" s="38" customFormat="1" ht="140.25" outlineLevel="1">
      <c r="B1180" s="71" t="s">
        <v>1190</v>
      </c>
      <c r="C1180" s="138" t="s">
        <v>361</v>
      </c>
      <c r="D1180" s="51" t="s">
        <v>75</v>
      </c>
      <c r="E1180" s="112">
        <v>4.8</v>
      </c>
      <c r="F1180" s="4"/>
      <c r="G1180" s="59">
        <f t="shared" si="28"/>
        <v>0</v>
      </c>
      <c r="K1180" s="93"/>
    </row>
    <row r="1181" spans="2:11" s="38" customFormat="1" ht="188.25" customHeight="1" outlineLevel="1">
      <c r="B1181" s="71" t="s">
        <v>1191</v>
      </c>
      <c r="C1181" s="138" t="s">
        <v>363</v>
      </c>
      <c r="D1181" s="51" t="s">
        <v>75</v>
      </c>
      <c r="E1181" s="112">
        <v>5.15</v>
      </c>
      <c r="F1181" s="4"/>
      <c r="G1181" s="59">
        <f t="shared" si="28"/>
        <v>0</v>
      </c>
      <c r="K1181" s="93"/>
    </row>
    <row r="1182" spans="2:11" s="38" customFormat="1" ht="137.25" customHeight="1" outlineLevel="1">
      <c r="B1182" s="71" t="s">
        <v>1192</v>
      </c>
      <c r="C1182" s="138" t="s">
        <v>365</v>
      </c>
      <c r="D1182" s="51" t="s">
        <v>84</v>
      </c>
      <c r="E1182" s="112">
        <v>3.32</v>
      </c>
      <c r="F1182" s="4"/>
      <c r="G1182" s="59">
        <f t="shared" si="28"/>
        <v>0</v>
      </c>
      <c r="K1182" s="93"/>
    </row>
    <row r="1183" spans="2:11" s="38" customFormat="1" ht="90" customHeight="1" outlineLevel="1">
      <c r="B1183" s="71" t="s">
        <v>1193</v>
      </c>
      <c r="C1183" s="138" t="s">
        <v>254</v>
      </c>
      <c r="D1183" s="51" t="s">
        <v>75</v>
      </c>
      <c r="E1183" s="112">
        <v>14.81</v>
      </c>
      <c r="F1183" s="4"/>
      <c r="G1183" s="59">
        <f t="shared" si="28"/>
        <v>0</v>
      </c>
      <c r="K1183" s="93"/>
    </row>
    <row r="1184" spans="2:11" s="38" customFormat="1" ht="104.25" customHeight="1" outlineLevel="1">
      <c r="B1184" s="71" t="s">
        <v>1194</v>
      </c>
      <c r="C1184" s="138" t="s">
        <v>452</v>
      </c>
      <c r="D1184" s="51" t="s">
        <v>75</v>
      </c>
      <c r="E1184" s="112">
        <v>3.6</v>
      </c>
      <c r="F1184" s="4"/>
      <c r="G1184" s="59">
        <f t="shared" si="28"/>
        <v>0</v>
      </c>
      <c r="K1184" s="93"/>
    </row>
    <row r="1185" spans="2:11" s="38" customFormat="1" ht="89.25" outlineLevel="1">
      <c r="B1185" s="71" t="s">
        <v>1195</v>
      </c>
      <c r="C1185" s="138" t="s">
        <v>370</v>
      </c>
      <c r="D1185" s="51" t="s">
        <v>75</v>
      </c>
      <c r="E1185" s="112">
        <v>5.15</v>
      </c>
      <c r="F1185" s="4"/>
      <c r="G1185" s="59">
        <f t="shared" si="28"/>
        <v>0</v>
      </c>
      <c r="K1185" s="93"/>
    </row>
    <row r="1186" spans="2:11" s="38" customFormat="1" ht="84.75" customHeight="1" outlineLevel="1">
      <c r="B1186" s="71" t="s">
        <v>1196</v>
      </c>
      <c r="C1186" s="138" t="s">
        <v>260</v>
      </c>
      <c r="D1186" s="51" t="s">
        <v>75</v>
      </c>
      <c r="E1186" s="112">
        <v>8.2200000000000006</v>
      </c>
      <c r="F1186" s="4"/>
      <c r="G1186" s="59">
        <f t="shared" si="28"/>
        <v>0</v>
      </c>
      <c r="K1186" s="93"/>
    </row>
    <row r="1187" spans="2:11" s="38" customFormat="1" ht="71.25" customHeight="1" outlineLevel="1">
      <c r="B1187" s="71" t="s">
        <v>1197</v>
      </c>
      <c r="C1187" s="138" t="s">
        <v>139</v>
      </c>
      <c r="D1187" s="51" t="s">
        <v>140</v>
      </c>
      <c r="E1187" s="112">
        <v>1</v>
      </c>
      <c r="F1187" s="4"/>
      <c r="G1187" s="59">
        <f t="shared" si="28"/>
        <v>0</v>
      </c>
      <c r="K1187" s="93"/>
    </row>
    <row r="1188" spans="2:11" s="38" customFormat="1" ht="105.75" customHeight="1" outlineLevel="1">
      <c r="B1188" s="71" t="s">
        <v>1198</v>
      </c>
      <c r="C1188" s="138" t="s">
        <v>263</v>
      </c>
      <c r="D1188" s="51" t="s">
        <v>84</v>
      </c>
      <c r="E1188" s="112">
        <v>4.8499999999999996</v>
      </c>
      <c r="F1188" s="4"/>
      <c r="G1188" s="59">
        <f t="shared" si="28"/>
        <v>0</v>
      </c>
      <c r="K1188" s="93"/>
    </row>
    <row r="1189" spans="2:11" s="38" customFormat="1" ht="92.25" customHeight="1" outlineLevel="1">
      <c r="B1189" s="71" t="s">
        <v>1199</v>
      </c>
      <c r="C1189" s="138" t="s">
        <v>265</v>
      </c>
      <c r="D1189" s="51" t="s">
        <v>84</v>
      </c>
      <c r="E1189" s="112">
        <v>10.93</v>
      </c>
      <c r="F1189" s="4"/>
      <c r="G1189" s="59">
        <f t="shared" si="28"/>
        <v>0</v>
      </c>
      <c r="K1189" s="93"/>
    </row>
    <row r="1190" spans="2:11" s="38" customFormat="1">
      <c r="B1190" s="71" t="s">
        <v>1200</v>
      </c>
      <c r="C1190" s="55" t="s">
        <v>146</v>
      </c>
      <c r="D1190" s="56"/>
      <c r="E1190" s="124">
        <v>0</v>
      </c>
      <c r="F1190" s="4"/>
      <c r="G1190" s="59">
        <f t="shared" si="28"/>
        <v>0</v>
      </c>
      <c r="K1190" s="93"/>
    </row>
    <row r="1191" spans="2:11" s="38" customFormat="1" ht="176.25" customHeight="1" outlineLevel="1">
      <c r="B1191" s="127" t="s">
        <v>1201</v>
      </c>
      <c r="C1191" s="139" t="s">
        <v>2637</v>
      </c>
      <c r="D1191" s="51" t="s">
        <v>140</v>
      </c>
      <c r="E1191" s="112">
        <v>1</v>
      </c>
      <c r="F1191" s="4"/>
      <c r="G1191" s="59">
        <f t="shared" si="28"/>
        <v>0</v>
      </c>
      <c r="K1191" s="93"/>
    </row>
    <row r="1192" spans="2:11" s="38" customFormat="1" ht="198.75" customHeight="1" outlineLevel="1">
      <c r="B1192" s="127" t="s">
        <v>1202</v>
      </c>
      <c r="C1192" s="139" t="s">
        <v>269</v>
      </c>
      <c r="D1192" s="51" t="s">
        <v>140</v>
      </c>
      <c r="E1192" s="112">
        <v>1</v>
      </c>
      <c r="F1192" s="4"/>
      <c r="G1192" s="59">
        <f t="shared" si="28"/>
        <v>0</v>
      </c>
      <c r="K1192" s="93"/>
    </row>
    <row r="1193" spans="2:11" s="38" customFormat="1">
      <c r="B1193" s="71" t="s">
        <v>1203</v>
      </c>
      <c r="C1193" s="55" t="s">
        <v>151</v>
      </c>
      <c r="D1193" s="56"/>
      <c r="E1193" s="124">
        <v>0</v>
      </c>
      <c r="F1193" s="4"/>
      <c r="G1193" s="59">
        <f t="shared" si="28"/>
        <v>0</v>
      </c>
      <c r="K1193" s="93"/>
    </row>
    <row r="1194" spans="2:11" s="38" customFormat="1" ht="38.25" outlineLevel="1">
      <c r="B1194" s="71" t="s">
        <v>1204</v>
      </c>
      <c r="C1194" s="138" t="s">
        <v>153</v>
      </c>
      <c r="D1194" s="51" t="s">
        <v>140</v>
      </c>
      <c r="E1194" s="112">
        <v>1</v>
      </c>
      <c r="F1194" s="13"/>
      <c r="G1194" s="59">
        <f t="shared" si="28"/>
        <v>0</v>
      </c>
      <c r="K1194" s="93"/>
    </row>
    <row r="1195" spans="2:11" s="38" customFormat="1" ht="51" outlineLevel="1">
      <c r="B1195" s="71" t="s">
        <v>1205</v>
      </c>
      <c r="C1195" s="138" t="s">
        <v>155</v>
      </c>
      <c r="D1195" s="51" t="s">
        <v>140</v>
      </c>
      <c r="E1195" s="112">
        <v>1</v>
      </c>
      <c r="F1195" s="13"/>
      <c r="G1195" s="59">
        <f t="shared" si="28"/>
        <v>0</v>
      </c>
      <c r="K1195" s="93"/>
    </row>
    <row r="1196" spans="2:11" s="38" customFormat="1">
      <c r="B1196" s="71" t="s">
        <v>1206</v>
      </c>
      <c r="C1196" s="55" t="s">
        <v>157</v>
      </c>
      <c r="D1196" s="56"/>
      <c r="E1196" s="124">
        <v>0</v>
      </c>
      <c r="F1196" s="4">
        <v>0</v>
      </c>
      <c r="G1196" s="59">
        <f t="shared" si="28"/>
        <v>0</v>
      </c>
      <c r="K1196" s="93"/>
    </row>
    <row r="1197" spans="2:11" s="38" customFormat="1" ht="47.25" customHeight="1" outlineLevel="1">
      <c r="B1197" s="98"/>
      <c r="C1197" s="50" t="s">
        <v>158</v>
      </c>
      <c r="D1197" s="51"/>
      <c r="E1197" s="112"/>
      <c r="F1197" s="4"/>
      <c r="G1197" s="59">
        <f t="shared" si="28"/>
        <v>0</v>
      </c>
      <c r="K1197" s="93"/>
    </row>
    <row r="1198" spans="2:11" s="38" customFormat="1" ht="31.5" customHeight="1" outlineLevel="1">
      <c r="B1198" s="71" t="s">
        <v>1207</v>
      </c>
      <c r="C1198" s="132" t="s">
        <v>160</v>
      </c>
      <c r="D1198" s="51" t="s">
        <v>140</v>
      </c>
      <c r="E1198" s="112">
        <v>1</v>
      </c>
      <c r="F1198" s="4"/>
      <c r="G1198" s="59">
        <f t="shared" si="28"/>
        <v>0</v>
      </c>
      <c r="K1198" s="100"/>
    </row>
    <row r="1199" spans="2:11" s="38" customFormat="1" ht="39.75" customHeight="1" outlineLevel="1">
      <c r="B1199" s="71" t="s">
        <v>1208</v>
      </c>
      <c r="C1199" s="132" t="s">
        <v>162</v>
      </c>
      <c r="D1199" s="51" t="s">
        <v>140</v>
      </c>
      <c r="E1199" s="112">
        <v>1</v>
      </c>
      <c r="F1199" s="4"/>
      <c r="G1199" s="59">
        <f t="shared" si="28"/>
        <v>0</v>
      </c>
      <c r="K1199" s="100"/>
    </row>
    <row r="1200" spans="2:11" s="38" customFormat="1" ht="67.5" customHeight="1" outlineLevel="1">
      <c r="B1200" s="71" t="s">
        <v>1209</v>
      </c>
      <c r="C1200" s="132" t="s">
        <v>164</v>
      </c>
      <c r="D1200" s="51" t="s">
        <v>140</v>
      </c>
      <c r="E1200" s="112">
        <v>1</v>
      </c>
      <c r="F1200" s="4"/>
      <c r="G1200" s="59">
        <f t="shared" si="28"/>
        <v>0</v>
      </c>
      <c r="K1200" s="100"/>
    </row>
    <row r="1201" spans="2:11" s="38" customFormat="1" ht="81" customHeight="1" outlineLevel="1">
      <c r="B1201" s="71" t="s">
        <v>1210</v>
      </c>
      <c r="C1201" s="50" t="s">
        <v>1211</v>
      </c>
      <c r="D1201" s="51" t="s">
        <v>140</v>
      </c>
      <c r="E1201" s="112">
        <v>1</v>
      </c>
      <c r="F1201" s="4"/>
      <c r="G1201" s="59">
        <f t="shared" si="28"/>
        <v>0</v>
      </c>
      <c r="K1201" s="100"/>
    </row>
    <row r="1202" spans="2:11" s="38" customFormat="1" ht="66" customHeight="1" outlineLevel="1">
      <c r="B1202" s="71" t="s">
        <v>1212</v>
      </c>
      <c r="C1202" s="50" t="s">
        <v>1213</v>
      </c>
      <c r="D1202" s="51" t="s">
        <v>140</v>
      </c>
      <c r="E1202" s="112">
        <v>1</v>
      </c>
      <c r="F1202" s="4"/>
      <c r="G1202" s="59">
        <f t="shared" si="28"/>
        <v>0</v>
      </c>
      <c r="K1202" s="100"/>
    </row>
    <row r="1203" spans="2:11" s="38" customFormat="1" ht="57.75" customHeight="1" outlineLevel="1">
      <c r="B1203" s="71" t="s">
        <v>1214</v>
      </c>
      <c r="C1203" s="132" t="s">
        <v>172</v>
      </c>
      <c r="D1203" s="51" t="s">
        <v>140</v>
      </c>
      <c r="E1203" s="112">
        <v>1</v>
      </c>
      <c r="F1203" s="4"/>
      <c r="G1203" s="59">
        <f t="shared" si="28"/>
        <v>0</v>
      </c>
      <c r="K1203" s="100"/>
    </row>
    <row r="1204" spans="2:11" s="38" customFormat="1" ht="45.75" customHeight="1" outlineLevel="1">
      <c r="B1204" s="71" t="s">
        <v>1215</v>
      </c>
      <c r="C1204" s="132" t="s">
        <v>174</v>
      </c>
      <c r="D1204" s="51" t="s">
        <v>140</v>
      </c>
      <c r="E1204" s="112">
        <v>1</v>
      </c>
      <c r="F1204" s="4"/>
      <c r="G1204" s="59">
        <f t="shared" si="28"/>
        <v>0</v>
      </c>
      <c r="K1204" s="100"/>
    </row>
    <row r="1205" spans="2:11" s="38" customFormat="1" ht="51" outlineLevel="1">
      <c r="B1205" s="71" t="s">
        <v>1216</v>
      </c>
      <c r="C1205" s="132" t="s">
        <v>2638</v>
      </c>
      <c r="D1205" s="51" t="s">
        <v>140</v>
      </c>
      <c r="E1205" s="112">
        <v>1</v>
      </c>
      <c r="F1205" s="4"/>
      <c r="G1205" s="59">
        <f t="shared" si="28"/>
        <v>0</v>
      </c>
      <c r="K1205" s="100"/>
    </row>
    <row r="1206" spans="2:11" s="38" customFormat="1" ht="59.25" customHeight="1" outlineLevel="1">
      <c r="B1206" s="71" t="s">
        <v>1217</v>
      </c>
      <c r="C1206" s="132" t="s">
        <v>177</v>
      </c>
      <c r="D1206" s="51" t="s">
        <v>140</v>
      </c>
      <c r="E1206" s="112">
        <v>1</v>
      </c>
      <c r="F1206" s="4"/>
      <c r="G1206" s="59">
        <f t="shared" si="28"/>
        <v>0</v>
      </c>
      <c r="K1206" s="100"/>
    </row>
    <row r="1207" spans="2:11" s="38" customFormat="1" ht="76.5" customHeight="1" outlineLevel="1">
      <c r="B1207" s="71" t="s">
        <v>1218</v>
      </c>
      <c r="C1207" s="132" t="s">
        <v>179</v>
      </c>
      <c r="D1207" s="51" t="s">
        <v>140</v>
      </c>
      <c r="E1207" s="112">
        <v>1</v>
      </c>
      <c r="F1207" s="4"/>
      <c r="G1207" s="59">
        <f t="shared" si="28"/>
        <v>0</v>
      </c>
      <c r="K1207" s="100"/>
    </row>
    <row r="1208" spans="2:11" s="38" customFormat="1" ht="51" outlineLevel="1">
      <c r="B1208" s="71" t="s">
        <v>1219</v>
      </c>
      <c r="C1208" s="132" t="s">
        <v>181</v>
      </c>
      <c r="D1208" s="51" t="s">
        <v>140</v>
      </c>
      <c r="E1208" s="112">
        <v>1</v>
      </c>
      <c r="F1208" s="4"/>
      <c r="G1208" s="59">
        <f t="shared" si="28"/>
        <v>0</v>
      </c>
      <c r="K1208" s="100"/>
    </row>
    <row r="1209" spans="2:11" s="38" customFormat="1" ht="25.5" outlineLevel="1">
      <c r="B1209" s="71" t="s">
        <v>1220</v>
      </c>
      <c r="C1209" s="132" t="s">
        <v>183</v>
      </c>
      <c r="D1209" s="51" t="s">
        <v>140</v>
      </c>
      <c r="E1209" s="112">
        <v>1</v>
      </c>
      <c r="F1209" s="4"/>
      <c r="G1209" s="59">
        <f t="shared" si="28"/>
        <v>0</v>
      </c>
      <c r="K1209" s="100"/>
    </row>
    <row r="1210" spans="2:11" s="38" customFormat="1" ht="48.75" customHeight="1" outlineLevel="1">
      <c r="B1210" s="71" t="s">
        <v>1221</v>
      </c>
      <c r="C1210" s="132" t="s">
        <v>185</v>
      </c>
      <c r="D1210" s="51" t="s">
        <v>140</v>
      </c>
      <c r="E1210" s="112">
        <v>2</v>
      </c>
      <c r="F1210" s="4">
        <v>0</v>
      </c>
      <c r="G1210" s="59">
        <f t="shared" si="28"/>
        <v>0</v>
      </c>
      <c r="K1210" s="100"/>
    </row>
    <row r="1211" spans="2:11" s="38" customFormat="1" ht="38.25" outlineLevel="1">
      <c r="B1211" s="71" t="s">
        <v>1222</v>
      </c>
      <c r="C1211" s="132" t="s">
        <v>187</v>
      </c>
      <c r="D1211" s="51" t="s">
        <v>140</v>
      </c>
      <c r="E1211" s="112">
        <v>1</v>
      </c>
      <c r="F1211" s="4">
        <v>0</v>
      </c>
      <c r="G1211" s="59">
        <f t="shared" si="28"/>
        <v>0</v>
      </c>
      <c r="K1211" s="100"/>
    </row>
    <row r="1212" spans="2:11" s="38" customFormat="1" ht="38.25" outlineLevel="1">
      <c r="B1212" s="71" t="s">
        <v>1223</v>
      </c>
      <c r="C1212" s="132" t="s">
        <v>189</v>
      </c>
      <c r="D1212" s="51" t="s">
        <v>140</v>
      </c>
      <c r="E1212" s="112">
        <v>2</v>
      </c>
      <c r="F1212" s="4">
        <v>0</v>
      </c>
      <c r="G1212" s="59">
        <f t="shared" ref="G1212:G1218" si="29">E1212*F1212</f>
        <v>0</v>
      </c>
      <c r="K1212" s="100"/>
    </row>
    <row r="1213" spans="2:11" s="38" customFormat="1" ht="25.5" outlineLevel="1">
      <c r="B1213" s="71" t="s">
        <v>1224</v>
      </c>
      <c r="C1213" s="132" t="s">
        <v>191</v>
      </c>
      <c r="D1213" s="51" t="s">
        <v>140</v>
      </c>
      <c r="E1213" s="112">
        <v>1</v>
      </c>
      <c r="F1213" s="4">
        <v>0</v>
      </c>
      <c r="G1213" s="59">
        <f t="shared" si="29"/>
        <v>0</v>
      </c>
      <c r="K1213" s="100"/>
    </row>
    <row r="1214" spans="2:11" s="38" customFormat="1" ht="51" outlineLevel="1">
      <c r="B1214" s="71" t="s">
        <v>1225</v>
      </c>
      <c r="C1214" s="132" t="s">
        <v>193</v>
      </c>
      <c r="D1214" s="51" t="s">
        <v>140</v>
      </c>
      <c r="E1214" s="112">
        <v>1</v>
      </c>
      <c r="F1214" s="4"/>
      <c r="G1214" s="59">
        <f t="shared" si="29"/>
        <v>0</v>
      </c>
      <c r="K1214" s="100"/>
    </row>
    <row r="1215" spans="2:11" s="38" customFormat="1" ht="165" customHeight="1" outlineLevel="1">
      <c r="B1215" s="71" t="s">
        <v>1226</v>
      </c>
      <c r="C1215" s="132" t="s">
        <v>195</v>
      </c>
      <c r="D1215" s="51" t="s">
        <v>140</v>
      </c>
      <c r="E1215" s="112">
        <v>1</v>
      </c>
      <c r="F1215" s="4">
        <v>0</v>
      </c>
      <c r="G1215" s="59">
        <f t="shared" si="29"/>
        <v>0</v>
      </c>
      <c r="K1215" s="100"/>
    </row>
    <row r="1216" spans="2:11" s="38" customFormat="1" ht="83.25" customHeight="1" outlineLevel="1">
      <c r="B1216" s="71" t="s">
        <v>1227</v>
      </c>
      <c r="C1216" s="132" t="s">
        <v>197</v>
      </c>
      <c r="D1216" s="51" t="s">
        <v>140</v>
      </c>
      <c r="E1216" s="112">
        <v>1</v>
      </c>
      <c r="F1216" s="4"/>
      <c r="G1216" s="59">
        <f t="shared" si="29"/>
        <v>0</v>
      </c>
      <c r="K1216" s="100"/>
    </row>
    <row r="1217" spans="2:11" s="38" customFormat="1" ht="64.5" customHeight="1" outlineLevel="1">
      <c r="B1217" s="71" t="s">
        <v>1228</v>
      </c>
      <c r="C1217" s="50" t="s">
        <v>1229</v>
      </c>
      <c r="D1217" s="51" t="s">
        <v>140</v>
      </c>
      <c r="E1217" s="112">
        <v>2</v>
      </c>
      <c r="F1217" s="4"/>
      <c r="G1217" s="59">
        <f t="shared" si="29"/>
        <v>0</v>
      </c>
      <c r="K1217" s="93"/>
    </row>
    <row r="1218" spans="2:11" s="38" customFormat="1" ht="119.25" customHeight="1" outlineLevel="1">
      <c r="B1218" s="71" t="s">
        <v>1230</v>
      </c>
      <c r="C1218" s="132" t="s">
        <v>1231</v>
      </c>
      <c r="D1218" s="51" t="s">
        <v>140</v>
      </c>
      <c r="E1218" s="112">
        <v>1</v>
      </c>
      <c r="F1218" s="4"/>
      <c r="G1218" s="59">
        <f t="shared" si="29"/>
        <v>0</v>
      </c>
      <c r="K1218" s="93"/>
    </row>
    <row r="1219" spans="2:11" s="38" customFormat="1" ht="67.5" customHeight="1" outlineLevel="1">
      <c r="B1219" s="71" t="s">
        <v>1232</v>
      </c>
      <c r="C1219" s="50" t="s">
        <v>1233</v>
      </c>
      <c r="D1219" s="51" t="s">
        <v>140</v>
      </c>
      <c r="E1219" s="112">
        <v>1</v>
      </c>
      <c r="F1219" s="4"/>
      <c r="G1219" s="59">
        <f>E1219*F1219</f>
        <v>0</v>
      </c>
      <c r="K1219" s="100"/>
    </row>
    <row r="1220" spans="2:11" s="38" customFormat="1">
      <c r="B1220" s="71"/>
      <c r="C1220" s="55"/>
      <c r="D1220" s="56"/>
      <c r="E1220" s="124"/>
      <c r="F1220" s="4"/>
      <c r="G1220" s="4"/>
      <c r="K1220" s="100"/>
    </row>
    <row r="1221" spans="2:11" s="38" customFormat="1">
      <c r="B1221" s="72" t="s">
        <v>1234</v>
      </c>
      <c r="C1221" s="52"/>
      <c r="D1221" s="15"/>
      <c r="E1221" s="122"/>
      <c r="F1221" s="54"/>
      <c r="G1221" s="58">
        <f>SUM(G1148:G1219)</f>
        <v>0</v>
      </c>
      <c r="K1221" s="93"/>
    </row>
    <row r="1222" spans="2:11" s="38" customFormat="1" outlineLevel="1">
      <c r="B1222" s="71"/>
      <c r="C1222" s="50"/>
      <c r="D1222" s="51"/>
      <c r="E1222" s="112"/>
      <c r="F1222" s="4"/>
      <c r="G1222" s="59"/>
      <c r="K1222" s="100"/>
    </row>
    <row r="1223" spans="2:11" s="38" customFormat="1">
      <c r="B1223" s="114" t="s">
        <v>1235</v>
      </c>
      <c r="C1223" s="52"/>
      <c r="D1223" s="15"/>
      <c r="E1223" s="122"/>
      <c r="F1223" s="54"/>
      <c r="G1223" s="58"/>
      <c r="K1223" s="93"/>
    </row>
    <row r="1224" spans="2:11" s="38" customFormat="1" ht="38.25">
      <c r="B1224" s="116"/>
      <c r="C1224" s="55" t="s">
        <v>207</v>
      </c>
      <c r="D1224" s="11" t="s">
        <v>140</v>
      </c>
      <c r="E1224" s="121">
        <v>3</v>
      </c>
      <c r="F1224" s="13"/>
      <c r="G1224" s="113">
        <f>G1221*E1224</f>
        <v>0</v>
      </c>
      <c r="K1224" s="93"/>
    </row>
    <row r="1225" spans="2:11" s="38" customFormat="1" outlineLevel="1">
      <c r="B1225" s="71"/>
      <c r="C1225" s="50"/>
      <c r="D1225" s="51"/>
      <c r="E1225" s="112"/>
      <c r="F1225" s="4"/>
      <c r="G1225" s="59"/>
      <c r="K1225" s="100"/>
    </row>
    <row r="1226" spans="2:11" s="38" customFormat="1">
      <c r="B1226" s="72">
        <v>3.15</v>
      </c>
      <c r="C1226" s="70" t="s">
        <v>1236</v>
      </c>
      <c r="D1226" s="49"/>
      <c r="E1226" s="123">
        <v>0</v>
      </c>
      <c r="F1226" s="54">
        <v>0</v>
      </c>
      <c r="G1226" s="58"/>
      <c r="K1226" s="93"/>
    </row>
    <row r="1227" spans="2:11" s="38" customFormat="1">
      <c r="B1227" s="116"/>
      <c r="C1227" s="55"/>
      <c r="D1227" s="56"/>
      <c r="E1227" s="124"/>
      <c r="F1227" s="13"/>
      <c r="G1227" s="113"/>
      <c r="K1227" s="93"/>
    </row>
    <row r="1228" spans="2:11" s="38" customFormat="1" ht="45" customHeight="1">
      <c r="B1228" s="116"/>
      <c r="C1228" s="50" t="s">
        <v>60</v>
      </c>
      <c r="D1228" s="56"/>
      <c r="E1228" s="124"/>
      <c r="F1228" s="13"/>
      <c r="G1228" s="4">
        <f t="shared" ref="G1228:G1291" si="30">E1228*F1228</f>
        <v>0</v>
      </c>
      <c r="K1228" s="93"/>
    </row>
    <row r="1229" spans="2:11" s="38" customFormat="1">
      <c r="B1229" s="116"/>
      <c r="C1229" s="55"/>
      <c r="D1229" s="56"/>
      <c r="E1229" s="124"/>
      <c r="F1229" s="13"/>
      <c r="G1229" s="4">
        <f t="shared" si="30"/>
        <v>0</v>
      </c>
      <c r="K1229" s="93"/>
    </row>
    <row r="1230" spans="2:11" s="38" customFormat="1">
      <c r="B1230" s="71" t="s">
        <v>1237</v>
      </c>
      <c r="C1230" s="55" t="s">
        <v>62</v>
      </c>
      <c r="D1230" s="56"/>
      <c r="E1230" s="124">
        <v>0</v>
      </c>
      <c r="F1230" s="13">
        <v>0</v>
      </c>
      <c r="G1230" s="4">
        <f t="shared" si="30"/>
        <v>0</v>
      </c>
      <c r="K1230" s="93"/>
    </row>
    <row r="1231" spans="2:11" s="38" customFormat="1" ht="202.5" customHeight="1" outlineLevel="1">
      <c r="B1231" s="71" t="s">
        <v>1238</v>
      </c>
      <c r="C1231" s="132" t="s">
        <v>64</v>
      </c>
      <c r="D1231" s="51" t="s">
        <v>38</v>
      </c>
      <c r="E1231" s="112">
        <v>1</v>
      </c>
      <c r="F1231" s="4"/>
      <c r="G1231" s="4">
        <f t="shared" si="30"/>
        <v>0</v>
      </c>
      <c r="K1231" s="93"/>
    </row>
    <row r="1232" spans="2:11" s="38" customFormat="1">
      <c r="B1232" s="71" t="s">
        <v>1239</v>
      </c>
      <c r="C1232" s="55" t="s">
        <v>66</v>
      </c>
      <c r="D1232" s="56"/>
      <c r="E1232" s="124">
        <v>0</v>
      </c>
      <c r="F1232" s="13"/>
      <c r="G1232" s="4">
        <f t="shared" si="30"/>
        <v>0</v>
      </c>
      <c r="K1232" s="93"/>
    </row>
    <row r="1233" spans="2:11" s="38" customFormat="1" ht="50.25" customHeight="1" outlineLevel="1">
      <c r="B1233" s="71" t="s">
        <v>1240</v>
      </c>
      <c r="C1233" s="132" t="s">
        <v>68</v>
      </c>
      <c r="D1233" s="51" t="s">
        <v>38</v>
      </c>
      <c r="E1233" s="112">
        <v>1</v>
      </c>
      <c r="F1233" s="4"/>
      <c r="G1233" s="4">
        <f t="shared" si="30"/>
        <v>0</v>
      </c>
      <c r="K1233" s="100"/>
    </row>
    <row r="1234" spans="2:11" s="38" customFormat="1" ht="71.25" customHeight="1" outlineLevel="1">
      <c r="B1234" s="71" t="s">
        <v>1241</v>
      </c>
      <c r="C1234" s="132" t="s">
        <v>70</v>
      </c>
      <c r="D1234" s="51" t="s">
        <v>38</v>
      </c>
      <c r="E1234" s="112">
        <v>1</v>
      </c>
      <c r="F1234" s="4"/>
      <c r="G1234" s="4">
        <f t="shared" si="30"/>
        <v>0</v>
      </c>
      <c r="K1234" s="100"/>
    </row>
    <row r="1235" spans="2:11" s="38" customFormat="1">
      <c r="B1235" s="71" t="s">
        <v>1242</v>
      </c>
      <c r="C1235" s="55" t="s">
        <v>72</v>
      </c>
      <c r="D1235" s="56"/>
      <c r="E1235" s="124">
        <v>0</v>
      </c>
      <c r="F1235" s="4">
        <v>0</v>
      </c>
      <c r="G1235" s="4">
        <f t="shared" si="30"/>
        <v>0</v>
      </c>
      <c r="K1235" s="93"/>
    </row>
    <row r="1236" spans="2:11" s="38" customFormat="1" ht="114.75" customHeight="1" outlineLevel="1">
      <c r="B1236" s="71" t="s">
        <v>1243</v>
      </c>
      <c r="C1236" s="132" t="s">
        <v>324</v>
      </c>
      <c r="D1236" s="51" t="s">
        <v>75</v>
      </c>
      <c r="E1236" s="112">
        <v>21.88</v>
      </c>
      <c r="F1236" s="4"/>
      <c r="G1236" s="4">
        <f t="shared" si="30"/>
        <v>0</v>
      </c>
      <c r="K1236" s="93"/>
    </row>
    <row r="1237" spans="2:11" s="38" customFormat="1" ht="75.75" customHeight="1" outlineLevel="1">
      <c r="B1237" s="71" t="s">
        <v>1244</v>
      </c>
      <c r="C1237" s="132" t="s">
        <v>77</v>
      </c>
      <c r="D1237" s="51" t="s">
        <v>75</v>
      </c>
      <c r="E1237" s="112">
        <v>13.01</v>
      </c>
      <c r="F1237" s="4"/>
      <c r="G1237" s="4">
        <f t="shared" si="30"/>
        <v>0</v>
      </c>
      <c r="K1237" s="93"/>
    </row>
    <row r="1238" spans="2:11" s="38" customFormat="1" ht="74.25" customHeight="1" outlineLevel="1">
      <c r="B1238" s="71" t="s">
        <v>1245</v>
      </c>
      <c r="C1238" s="138" t="s">
        <v>327</v>
      </c>
      <c r="D1238" s="51" t="s">
        <v>75</v>
      </c>
      <c r="E1238" s="112">
        <v>26.58</v>
      </c>
      <c r="F1238" s="57"/>
      <c r="G1238" s="4">
        <f t="shared" si="30"/>
        <v>0</v>
      </c>
      <c r="K1238" s="93"/>
    </row>
    <row r="1239" spans="2:11" s="38" customFormat="1" ht="105" customHeight="1" outlineLevel="1">
      <c r="B1239" s="71" t="s">
        <v>1246</v>
      </c>
      <c r="C1239" s="138" t="s">
        <v>329</v>
      </c>
      <c r="D1239" s="51" t="s">
        <v>75</v>
      </c>
      <c r="E1239" s="112">
        <v>3.15</v>
      </c>
      <c r="F1239" s="4"/>
      <c r="G1239" s="4">
        <f t="shared" si="30"/>
        <v>0</v>
      </c>
      <c r="K1239" s="93"/>
    </row>
    <row r="1240" spans="2:11" s="38" customFormat="1" ht="72.75" customHeight="1" outlineLevel="1">
      <c r="B1240" s="71" t="s">
        <v>1247</v>
      </c>
      <c r="C1240" s="138" t="s">
        <v>331</v>
      </c>
      <c r="D1240" s="51" t="s">
        <v>84</v>
      </c>
      <c r="E1240" s="112">
        <v>1.8</v>
      </c>
      <c r="F1240" s="4"/>
      <c r="G1240" s="4">
        <f t="shared" si="30"/>
        <v>0</v>
      </c>
      <c r="K1240" s="93"/>
    </row>
    <row r="1241" spans="2:11" s="38" customFormat="1" ht="38.25" outlineLevel="1">
      <c r="B1241" s="71" t="s">
        <v>1248</v>
      </c>
      <c r="C1241" s="132" t="s">
        <v>221</v>
      </c>
      <c r="D1241" s="51" t="s">
        <v>84</v>
      </c>
      <c r="E1241" s="112">
        <v>92.47</v>
      </c>
      <c r="F1241" s="4"/>
      <c r="G1241" s="4">
        <f t="shared" si="30"/>
        <v>0</v>
      </c>
      <c r="K1241" s="93"/>
    </row>
    <row r="1242" spans="2:11" s="38" customFormat="1" ht="38.25" outlineLevel="1">
      <c r="B1242" s="71" t="s">
        <v>1249</v>
      </c>
      <c r="C1242" s="132" t="s">
        <v>223</v>
      </c>
      <c r="D1242" s="51" t="s">
        <v>84</v>
      </c>
      <c r="E1242" s="112">
        <f>3.64</f>
        <v>3.64</v>
      </c>
      <c r="F1242" s="4"/>
      <c r="G1242" s="4">
        <f t="shared" si="30"/>
        <v>0</v>
      </c>
      <c r="K1242" s="93"/>
    </row>
    <row r="1243" spans="2:11" s="38" customFormat="1" ht="114.75" outlineLevel="1">
      <c r="B1243" s="71" t="s">
        <v>1250</v>
      </c>
      <c r="C1243" s="139" t="s">
        <v>335</v>
      </c>
      <c r="D1243" s="51" t="s">
        <v>91</v>
      </c>
      <c r="E1243" s="112">
        <v>1</v>
      </c>
      <c r="F1243" s="4"/>
      <c r="G1243" s="4">
        <f t="shared" si="30"/>
        <v>0</v>
      </c>
      <c r="K1243" s="93"/>
    </row>
    <row r="1244" spans="2:11" s="38" customFormat="1">
      <c r="B1244" s="71" t="s">
        <v>1251</v>
      </c>
      <c r="C1244" s="55" t="s">
        <v>93</v>
      </c>
      <c r="D1244" s="56"/>
      <c r="E1244" s="124">
        <v>0</v>
      </c>
      <c r="F1244" s="4">
        <v>0</v>
      </c>
      <c r="G1244" s="4">
        <f t="shared" si="30"/>
        <v>0</v>
      </c>
      <c r="K1244" s="93"/>
    </row>
    <row r="1245" spans="2:11" s="38" customFormat="1" ht="83.25" customHeight="1" outlineLevel="1">
      <c r="B1245" s="71" t="s">
        <v>1252</v>
      </c>
      <c r="C1245" s="132" t="s">
        <v>97</v>
      </c>
      <c r="D1245" s="51" t="s">
        <v>75</v>
      </c>
      <c r="E1245" s="112">
        <v>23.69</v>
      </c>
      <c r="F1245" s="4"/>
      <c r="G1245" s="4">
        <f t="shared" si="30"/>
        <v>0</v>
      </c>
      <c r="K1245" s="93"/>
    </row>
    <row r="1246" spans="2:11" s="38" customFormat="1" ht="110.25" customHeight="1" outlineLevel="1">
      <c r="B1246" s="71" t="s">
        <v>1253</v>
      </c>
      <c r="C1246" s="132" t="s">
        <v>99</v>
      </c>
      <c r="D1246" s="51" t="s">
        <v>75</v>
      </c>
      <c r="E1246" s="112">
        <v>46</v>
      </c>
      <c r="F1246" s="4"/>
      <c r="G1246" s="4">
        <f t="shared" si="30"/>
        <v>0</v>
      </c>
      <c r="K1246" s="93"/>
    </row>
    <row r="1247" spans="2:11" s="38" customFormat="1" ht="126.75" customHeight="1" outlineLevel="1">
      <c r="B1247" s="71" t="s">
        <v>1254</v>
      </c>
      <c r="C1247" s="132" t="s">
        <v>340</v>
      </c>
      <c r="D1247" s="51" t="s">
        <v>75</v>
      </c>
      <c r="E1247" s="112">
        <v>2.15</v>
      </c>
      <c r="F1247" s="4"/>
      <c r="G1247" s="4">
        <f t="shared" si="30"/>
        <v>0</v>
      </c>
      <c r="K1247" s="93"/>
    </row>
    <row r="1248" spans="2:11" s="38" customFormat="1" ht="89.25" outlineLevel="1">
      <c r="B1248" s="71" t="s">
        <v>1255</v>
      </c>
      <c r="C1248" s="132" t="s">
        <v>103</v>
      </c>
      <c r="D1248" s="115"/>
      <c r="E1248" s="112">
        <v>5.93</v>
      </c>
      <c r="G1248" s="4">
        <f t="shared" si="30"/>
        <v>0</v>
      </c>
      <c r="K1248" s="93"/>
    </row>
    <row r="1249" spans="2:11" s="38" customFormat="1" ht="198" customHeight="1" outlineLevel="1">
      <c r="B1249" s="71" t="s">
        <v>1256</v>
      </c>
      <c r="C1249" s="130" t="s">
        <v>343</v>
      </c>
      <c r="D1249" s="51" t="s">
        <v>75</v>
      </c>
      <c r="E1249" s="112">
        <v>5.09</v>
      </c>
      <c r="F1249" s="4"/>
      <c r="G1249" s="4">
        <f t="shared" si="30"/>
        <v>0</v>
      </c>
      <c r="K1249" s="93"/>
    </row>
    <row r="1250" spans="2:11" s="38" customFormat="1" ht="177" customHeight="1" outlineLevel="1">
      <c r="B1250" s="71" t="s">
        <v>1257</v>
      </c>
      <c r="C1250" s="132" t="s">
        <v>234</v>
      </c>
      <c r="D1250" s="51" t="s">
        <v>75</v>
      </c>
      <c r="E1250" s="112">
        <v>9.52</v>
      </c>
      <c r="F1250" s="4"/>
      <c r="G1250" s="4">
        <f t="shared" si="30"/>
        <v>0</v>
      </c>
      <c r="K1250" s="93"/>
    </row>
    <row r="1251" spans="2:11" s="38" customFormat="1" ht="178.5" outlineLevel="1">
      <c r="B1251" s="71" t="s">
        <v>1258</v>
      </c>
      <c r="C1251" s="130" t="s">
        <v>2617</v>
      </c>
      <c r="D1251" s="51" t="s">
        <v>75</v>
      </c>
      <c r="E1251" s="112">
        <v>1.79</v>
      </c>
      <c r="F1251" s="4"/>
      <c r="G1251" s="4">
        <f t="shared" si="30"/>
        <v>0</v>
      </c>
      <c r="K1251" s="93"/>
    </row>
    <row r="1252" spans="2:11" s="38" customFormat="1" ht="86.25" customHeight="1" outlineLevel="1">
      <c r="B1252" s="71" t="s">
        <v>1259</v>
      </c>
      <c r="C1252" s="132" t="s">
        <v>435</v>
      </c>
      <c r="D1252" s="51" t="s">
        <v>75</v>
      </c>
      <c r="E1252" s="112">
        <v>31.99</v>
      </c>
      <c r="F1252" s="4"/>
      <c r="G1252" s="4">
        <f t="shared" si="30"/>
        <v>0</v>
      </c>
      <c r="K1252" s="93"/>
    </row>
    <row r="1253" spans="2:11" s="38" customFormat="1" ht="86.25" customHeight="1" outlineLevel="1">
      <c r="B1253" s="71" t="s">
        <v>1260</v>
      </c>
      <c r="C1253" s="132" t="s">
        <v>437</v>
      </c>
      <c r="D1253" s="51" t="s">
        <v>75</v>
      </c>
      <c r="E1253" s="112">
        <v>11.11</v>
      </c>
      <c r="F1253" s="4"/>
      <c r="G1253" s="4">
        <f t="shared" si="30"/>
        <v>0</v>
      </c>
      <c r="K1253" s="93"/>
    </row>
    <row r="1254" spans="2:11" s="38" customFormat="1" ht="108.75" customHeight="1" outlineLevel="1">
      <c r="B1254" s="71" t="s">
        <v>1261</v>
      </c>
      <c r="C1254" s="132" t="s">
        <v>353</v>
      </c>
      <c r="D1254" s="51" t="s">
        <v>75</v>
      </c>
      <c r="E1254" s="112">
        <v>4.1500000000000004</v>
      </c>
      <c r="F1254" s="4"/>
      <c r="G1254" s="4">
        <f t="shared" si="30"/>
        <v>0</v>
      </c>
      <c r="K1254" s="93"/>
    </row>
    <row r="1255" spans="2:11" s="38" customFormat="1" ht="103.5" customHeight="1" outlineLevel="1">
      <c r="B1255" s="71" t="s">
        <v>1262</v>
      </c>
      <c r="C1255" s="132" t="s">
        <v>440</v>
      </c>
      <c r="D1255" s="51" t="s">
        <v>84</v>
      </c>
      <c r="E1255" s="112">
        <v>4.76</v>
      </c>
      <c r="F1255" s="4"/>
      <c r="G1255" s="4">
        <f t="shared" si="30"/>
        <v>0</v>
      </c>
      <c r="K1255" s="93"/>
    </row>
    <row r="1256" spans="2:11" s="38" customFormat="1" ht="106.5" customHeight="1" outlineLevel="1">
      <c r="B1256" s="71" t="s">
        <v>1263</v>
      </c>
      <c r="C1256" s="132" t="s">
        <v>442</v>
      </c>
      <c r="D1256" s="51" t="s">
        <v>84</v>
      </c>
      <c r="E1256" s="112">
        <v>8.25</v>
      </c>
      <c r="F1256" s="4"/>
      <c r="G1256" s="4">
        <f t="shared" si="30"/>
        <v>0</v>
      </c>
      <c r="K1256" s="93"/>
    </row>
    <row r="1257" spans="2:11" s="38" customFormat="1" ht="102.75" customHeight="1" outlineLevel="1">
      <c r="B1257" s="71" t="s">
        <v>1264</v>
      </c>
      <c r="C1257" s="132" t="s">
        <v>248</v>
      </c>
      <c r="D1257" s="51" t="s">
        <v>84</v>
      </c>
      <c r="E1257" s="112">
        <v>11</v>
      </c>
      <c r="F1257" s="4"/>
      <c r="G1257" s="4">
        <f t="shared" si="30"/>
        <v>0</v>
      </c>
      <c r="K1257" s="93"/>
    </row>
    <row r="1258" spans="2:11" s="38" customFormat="1" outlineLevel="1">
      <c r="B1258" s="71"/>
      <c r="C1258" s="50"/>
      <c r="D1258" s="51"/>
      <c r="E1258" s="112"/>
      <c r="F1258" s="4"/>
      <c r="G1258" s="4">
        <f t="shared" si="30"/>
        <v>0</v>
      </c>
      <c r="K1258" s="93"/>
    </row>
    <row r="1259" spans="2:11" s="38" customFormat="1">
      <c r="B1259" s="71" t="s">
        <v>1265</v>
      </c>
      <c r="C1259" s="55" t="s">
        <v>123</v>
      </c>
      <c r="D1259" s="56"/>
      <c r="E1259" s="124">
        <v>0</v>
      </c>
      <c r="F1259" s="4"/>
      <c r="G1259" s="4">
        <f t="shared" si="30"/>
        <v>0</v>
      </c>
      <c r="K1259" s="93"/>
    </row>
    <row r="1260" spans="2:11" s="38" customFormat="1" ht="156" customHeight="1" outlineLevel="1">
      <c r="B1260" s="71" t="s">
        <v>1266</v>
      </c>
      <c r="C1260" s="132" t="s">
        <v>361</v>
      </c>
      <c r="D1260" s="51" t="s">
        <v>75</v>
      </c>
      <c r="E1260" s="112">
        <v>5.25</v>
      </c>
      <c r="F1260" s="4"/>
      <c r="G1260" s="4">
        <f t="shared" si="30"/>
        <v>0</v>
      </c>
      <c r="K1260" s="93"/>
    </row>
    <row r="1261" spans="2:11" s="38" customFormat="1" ht="196.5" customHeight="1" outlineLevel="1">
      <c r="B1261" s="71" t="s">
        <v>1267</v>
      </c>
      <c r="C1261" s="132" t="s">
        <v>363</v>
      </c>
      <c r="D1261" s="51" t="s">
        <v>75</v>
      </c>
      <c r="E1261" s="112">
        <v>4.58</v>
      </c>
      <c r="F1261" s="4"/>
      <c r="G1261" s="4">
        <f t="shared" si="30"/>
        <v>0</v>
      </c>
      <c r="K1261" s="93"/>
    </row>
    <row r="1262" spans="2:11" s="38" customFormat="1" ht="140.25" customHeight="1" outlineLevel="1">
      <c r="B1262" s="71" t="s">
        <v>1268</v>
      </c>
      <c r="C1262" s="132" t="s">
        <v>365</v>
      </c>
      <c r="D1262" s="51" t="s">
        <v>84</v>
      </c>
      <c r="E1262" s="112">
        <v>3.16</v>
      </c>
      <c r="F1262" s="4"/>
      <c r="G1262" s="4">
        <f t="shared" si="30"/>
        <v>0</v>
      </c>
      <c r="K1262" s="93"/>
    </row>
    <row r="1263" spans="2:11" s="38" customFormat="1" ht="91.5" customHeight="1" outlineLevel="1">
      <c r="B1263" s="71" t="s">
        <v>1269</v>
      </c>
      <c r="C1263" s="132" t="s">
        <v>254</v>
      </c>
      <c r="D1263" s="51" t="s">
        <v>75</v>
      </c>
      <c r="E1263" s="112">
        <v>9.6</v>
      </c>
      <c r="F1263" s="4"/>
      <c r="G1263" s="4">
        <f t="shared" si="30"/>
        <v>0</v>
      </c>
      <c r="K1263" s="93"/>
    </row>
    <row r="1264" spans="2:11" s="38" customFormat="1" ht="102.75" customHeight="1" outlineLevel="1">
      <c r="B1264" s="71" t="s">
        <v>1270</v>
      </c>
      <c r="C1264" s="132" t="s">
        <v>452</v>
      </c>
      <c r="D1264" s="51" t="s">
        <v>75</v>
      </c>
      <c r="E1264" s="112">
        <v>5.25</v>
      </c>
      <c r="F1264" s="4"/>
      <c r="G1264" s="4">
        <f t="shared" si="30"/>
        <v>0</v>
      </c>
      <c r="K1264" s="93"/>
    </row>
    <row r="1265" spans="2:11" s="38" customFormat="1" ht="116.25" customHeight="1" outlineLevel="1">
      <c r="B1265" s="71" t="s">
        <v>1271</v>
      </c>
      <c r="C1265" s="132" t="s">
        <v>370</v>
      </c>
      <c r="D1265" s="51" t="s">
        <v>75</v>
      </c>
      <c r="E1265" s="112">
        <v>4.58</v>
      </c>
      <c r="F1265" s="4"/>
      <c r="G1265" s="4">
        <f t="shared" si="30"/>
        <v>0</v>
      </c>
      <c r="K1265" s="93"/>
    </row>
    <row r="1266" spans="2:11" s="38" customFormat="1" ht="75.75" customHeight="1" outlineLevel="1">
      <c r="B1266" s="71" t="s">
        <v>1272</v>
      </c>
      <c r="C1266" s="132" t="s">
        <v>260</v>
      </c>
      <c r="D1266" s="51" t="s">
        <v>75</v>
      </c>
      <c r="E1266" s="112">
        <v>6.99</v>
      </c>
      <c r="F1266" s="4"/>
      <c r="G1266" s="4">
        <f t="shared" si="30"/>
        <v>0</v>
      </c>
      <c r="K1266" s="93"/>
    </row>
    <row r="1267" spans="2:11" s="38" customFormat="1" ht="57" customHeight="1" outlineLevel="1">
      <c r="B1267" s="71" t="s">
        <v>1273</v>
      </c>
      <c r="C1267" s="132" t="s">
        <v>139</v>
      </c>
      <c r="D1267" s="51" t="s">
        <v>140</v>
      </c>
      <c r="E1267" s="112">
        <v>1</v>
      </c>
      <c r="F1267" s="4"/>
      <c r="G1267" s="4">
        <f t="shared" si="30"/>
        <v>0</v>
      </c>
      <c r="K1267" s="93"/>
    </row>
    <row r="1268" spans="2:11" s="38" customFormat="1" ht="105.75" customHeight="1" outlineLevel="1">
      <c r="B1268" s="71" t="s">
        <v>1274</v>
      </c>
      <c r="C1268" s="132" t="s">
        <v>263</v>
      </c>
      <c r="D1268" s="51" t="s">
        <v>84</v>
      </c>
      <c r="E1268" s="112">
        <v>3.56</v>
      </c>
      <c r="F1268" s="4"/>
      <c r="G1268" s="4">
        <f t="shared" si="30"/>
        <v>0</v>
      </c>
      <c r="K1268" s="93"/>
    </row>
    <row r="1269" spans="2:11" s="38" customFormat="1" ht="92.25" customHeight="1" outlineLevel="1">
      <c r="B1269" s="71" t="s">
        <v>1275</v>
      </c>
      <c r="C1269" s="132" t="s">
        <v>265</v>
      </c>
      <c r="D1269" s="51" t="s">
        <v>84</v>
      </c>
      <c r="E1269" s="112">
        <v>10.5</v>
      </c>
      <c r="F1269" s="4"/>
      <c r="G1269" s="4">
        <f t="shared" si="30"/>
        <v>0</v>
      </c>
      <c r="K1269" s="93"/>
    </row>
    <row r="1270" spans="2:11" s="38" customFormat="1">
      <c r="B1270" s="71" t="s">
        <v>1276</v>
      </c>
      <c r="C1270" s="55" t="s">
        <v>146</v>
      </c>
      <c r="D1270" s="56"/>
      <c r="E1270" s="124">
        <v>0</v>
      </c>
      <c r="F1270" s="4"/>
      <c r="G1270" s="4">
        <f t="shared" si="30"/>
        <v>0</v>
      </c>
      <c r="K1270" s="93"/>
    </row>
    <row r="1271" spans="2:11" s="38" customFormat="1" ht="176.25" customHeight="1" outlineLevel="1">
      <c r="B1271" s="127" t="s">
        <v>1277</v>
      </c>
      <c r="C1271" s="130" t="s">
        <v>2637</v>
      </c>
      <c r="D1271" s="51" t="s">
        <v>140</v>
      </c>
      <c r="E1271" s="112">
        <v>1</v>
      </c>
      <c r="F1271" s="4"/>
      <c r="G1271" s="4">
        <f t="shared" si="30"/>
        <v>0</v>
      </c>
      <c r="K1271" s="93"/>
    </row>
    <row r="1272" spans="2:11" s="38" customFormat="1" ht="198.75" customHeight="1" outlineLevel="1">
      <c r="B1272" s="127" t="s">
        <v>1278</v>
      </c>
      <c r="C1272" s="130" t="s">
        <v>269</v>
      </c>
      <c r="D1272" s="51" t="s">
        <v>140</v>
      </c>
      <c r="E1272" s="112">
        <v>1</v>
      </c>
      <c r="F1272" s="4"/>
      <c r="G1272" s="4">
        <f t="shared" si="30"/>
        <v>0</v>
      </c>
      <c r="K1272" s="93"/>
    </row>
    <row r="1273" spans="2:11" s="38" customFormat="1">
      <c r="B1273" s="71" t="s">
        <v>1279</v>
      </c>
      <c r="C1273" s="55" t="s">
        <v>151</v>
      </c>
      <c r="D1273" s="56"/>
      <c r="E1273" s="124">
        <v>0</v>
      </c>
      <c r="F1273" s="4"/>
      <c r="G1273" s="4">
        <f t="shared" si="30"/>
        <v>0</v>
      </c>
      <c r="K1273" s="93"/>
    </row>
    <row r="1274" spans="2:11" s="38" customFormat="1" ht="38.25" outlineLevel="1">
      <c r="B1274" s="71" t="s">
        <v>1280</v>
      </c>
      <c r="C1274" s="132" t="s">
        <v>153</v>
      </c>
      <c r="D1274" s="51" t="s">
        <v>140</v>
      </c>
      <c r="E1274" s="112">
        <v>1</v>
      </c>
      <c r="F1274" s="13"/>
      <c r="G1274" s="4">
        <f t="shared" si="30"/>
        <v>0</v>
      </c>
      <c r="K1274" s="93"/>
    </row>
    <row r="1275" spans="2:11" s="38" customFormat="1" ht="51" outlineLevel="1">
      <c r="B1275" s="71" t="s">
        <v>1281</v>
      </c>
      <c r="C1275" s="132" t="s">
        <v>155</v>
      </c>
      <c r="D1275" s="51" t="s">
        <v>140</v>
      </c>
      <c r="E1275" s="112">
        <v>1</v>
      </c>
      <c r="F1275" s="13"/>
      <c r="G1275" s="4">
        <f t="shared" si="30"/>
        <v>0</v>
      </c>
      <c r="K1275" s="93"/>
    </row>
    <row r="1276" spans="2:11" s="38" customFormat="1">
      <c r="B1276" s="71" t="s">
        <v>1282</v>
      </c>
      <c r="C1276" s="55" t="s">
        <v>157</v>
      </c>
      <c r="D1276" s="56"/>
      <c r="E1276" s="124">
        <v>0</v>
      </c>
      <c r="F1276" s="4">
        <v>0</v>
      </c>
      <c r="G1276" s="4">
        <f t="shared" si="30"/>
        <v>0</v>
      </c>
      <c r="K1276" s="93"/>
    </row>
    <row r="1277" spans="2:11" s="38" customFormat="1" ht="51" outlineLevel="1">
      <c r="B1277" s="98"/>
      <c r="C1277" s="50" t="s">
        <v>158</v>
      </c>
      <c r="D1277" s="51"/>
      <c r="E1277" s="112"/>
      <c r="F1277" s="4"/>
      <c r="G1277" s="4">
        <f t="shared" si="30"/>
        <v>0</v>
      </c>
      <c r="K1277" s="93"/>
    </row>
    <row r="1278" spans="2:11" s="38" customFormat="1" ht="36.75" customHeight="1" outlineLevel="1">
      <c r="B1278" s="71" t="s">
        <v>1283</v>
      </c>
      <c r="C1278" s="132" t="s">
        <v>160</v>
      </c>
      <c r="D1278" s="51" t="s">
        <v>140</v>
      </c>
      <c r="E1278" s="112">
        <v>1</v>
      </c>
      <c r="F1278" s="4"/>
      <c r="G1278" s="4">
        <f t="shared" si="30"/>
        <v>0</v>
      </c>
      <c r="K1278" s="100"/>
    </row>
    <row r="1279" spans="2:11" s="38" customFormat="1" ht="38.25" outlineLevel="1">
      <c r="B1279" s="71" t="s">
        <v>1284</v>
      </c>
      <c r="C1279" s="132" t="s">
        <v>162</v>
      </c>
      <c r="D1279" s="51" t="s">
        <v>140</v>
      </c>
      <c r="E1279" s="112">
        <v>1</v>
      </c>
      <c r="F1279" s="4"/>
      <c r="G1279" s="4">
        <f t="shared" si="30"/>
        <v>0</v>
      </c>
      <c r="K1279" s="100"/>
    </row>
    <row r="1280" spans="2:11" s="38" customFormat="1" ht="51" outlineLevel="1">
      <c r="B1280" s="71" t="s">
        <v>1285</v>
      </c>
      <c r="C1280" s="132" t="s">
        <v>164</v>
      </c>
      <c r="D1280" s="51" t="s">
        <v>140</v>
      </c>
      <c r="E1280" s="112">
        <v>1</v>
      </c>
      <c r="F1280" s="4"/>
      <c r="G1280" s="4">
        <f t="shared" si="30"/>
        <v>0</v>
      </c>
      <c r="K1280" s="100"/>
    </row>
    <row r="1281" spans="2:11" s="38" customFormat="1" ht="63.75" outlineLevel="1">
      <c r="B1281" s="71" t="s">
        <v>1286</v>
      </c>
      <c r="C1281" s="50" t="s">
        <v>1211</v>
      </c>
      <c r="D1281" s="51" t="s">
        <v>140</v>
      </c>
      <c r="E1281" s="112">
        <v>1</v>
      </c>
      <c r="F1281" s="4"/>
      <c r="G1281" s="4">
        <f t="shared" si="30"/>
        <v>0</v>
      </c>
      <c r="K1281" s="100"/>
    </row>
    <row r="1282" spans="2:11" s="38" customFormat="1" ht="51" outlineLevel="1">
      <c r="B1282" s="71" t="s">
        <v>1287</v>
      </c>
      <c r="C1282" s="50" t="s">
        <v>1213</v>
      </c>
      <c r="D1282" s="51" t="s">
        <v>140</v>
      </c>
      <c r="E1282" s="112">
        <v>1</v>
      </c>
      <c r="F1282" s="4"/>
      <c r="G1282" s="4">
        <f t="shared" si="30"/>
        <v>0</v>
      </c>
      <c r="K1282" s="100"/>
    </row>
    <row r="1283" spans="2:11" s="38" customFormat="1" ht="60.75" customHeight="1" outlineLevel="1">
      <c r="B1283" s="71" t="s">
        <v>1288</v>
      </c>
      <c r="C1283" s="132" t="s">
        <v>172</v>
      </c>
      <c r="D1283" s="51" t="s">
        <v>140</v>
      </c>
      <c r="E1283" s="112">
        <v>1</v>
      </c>
      <c r="F1283" s="4"/>
      <c r="G1283" s="4">
        <f t="shared" si="30"/>
        <v>0</v>
      </c>
      <c r="K1283" s="100"/>
    </row>
    <row r="1284" spans="2:11" s="38" customFormat="1" ht="51" outlineLevel="1">
      <c r="B1284" s="71" t="s">
        <v>1289</v>
      </c>
      <c r="C1284" s="132" t="s">
        <v>174</v>
      </c>
      <c r="D1284" s="51" t="s">
        <v>140</v>
      </c>
      <c r="E1284" s="112">
        <v>1</v>
      </c>
      <c r="F1284" s="4"/>
      <c r="G1284" s="4">
        <f t="shared" si="30"/>
        <v>0</v>
      </c>
      <c r="K1284" s="100"/>
    </row>
    <row r="1285" spans="2:11" s="38" customFormat="1" ht="51" outlineLevel="1">
      <c r="B1285" s="71" t="s">
        <v>1290</v>
      </c>
      <c r="C1285" s="132" t="s">
        <v>2638</v>
      </c>
      <c r="D1285" s="51" t="s">
        <v>140</v>
      </c>
      <c r="E1285" s="112">
        <v>1</v>
      </c>
      <c r="F1285" s="4"/>
      <c r="G1285" s="4">
        <f t="shared" si="30"/>
        <v>0</v>
      </c>
      <c r="K1285" s="100"/>
    </row>
    <row r="1286" spans="2:11" s="38" customFormat="1" ht="51" outlineLevel="1">
      <c r="B1286" s="71" t="s">
        <v>1291</v>
      </c>
      <c r="C1286" s="132" t="s">
        <v>177</v>
      </c>
      <c r="D1286" s="51" t="s">
        <v>140</v>
      </c>
      <c r="E1286" s="112">
        <v>1</v>
      </c>
      <c r="F1286" s="4"/>
      <c r="G1286" s="4">
        <f t="shared" si="30"/>
        <v>0</v>
      </c>
      <c r="K1286" s="100"/>
    </row>
    <row r="1287" spans="2:11" s="38" customFormat="1" ht="63.75" outlineLevel="1">
      <c r="B1287" s="71" t="s">
        <v>1292</v>
      </c>
      <c r="C1287" s="132" t="s">
        <v>179</v>
      </c>
      <c r="D1287" s="51" t="s">
        <v>140</v>
      </c>
      <c r="E1287" s="112">
        <v>1</v>
      </c>
      <c r="F1287" s="4"/>
      <c r="G1287" s="4">
        <f t="shared" si="30"/>
        <v>0</v>
      </c>
      <c r="K1287" s="100"/>
    </row>
    <row r="1288" spans="2:11" s="38" customFormat="1" ht="51" outlineLevel="1">
      <c r="B1288" s="71" t="s">
        <v>1293</v>
      </c>
      <c r="C1288" s="132" t="s">
        <v>181</v>
      </c>
      <c r="D1288" s="51" t="s">
        <v>140</v>
      </c>
      <c r="E1288" s="112">
        <v>1</v>
      </c>
      <c r="F1288" s="4"/>
      <c r="G1288" s="4">
        <f t="shared" si="30"/>
        <v>0</v>
      </c>
      <c r="K1288" s="100"/>
    </row>
    <row r="1289" spans="2:11" s="38" customFormat="1" ht="25.5" outlineLevel="1">
      <c r="B1289" s="71" t="s">
        <v>1294</v>
      </c>
      <c r="C1289" s="132" t="s">
        <v>183</v>
      </c>
      <c r="D1289" s="51" t="s">
        <v>140</v>
      </c>
      <c r="E1289" s="112">
        <v>1</v>
      </c>
      <c r="F1289" s="4"/>
      <c r="G1289" s="4">
        <f t="shared" si="30"/>
        <v>0</v>
      </c>
      <c r="K1289" s="100"/>
    </row>
    <row r="1290" spans="2:11" s="38" customFormat="1" ht="38.25" outlineLevel="1">
      <c r="B1290" s="71" t="s">
        <v>1295</v>
      </c>
      <c r="C1290" s="132" t="s">
        <v>185</v>
      </c>
      <c r="D1290" s="51" t="s">
        <v>140</v>
      </c>
      <c r="E1290" s="112">
        <v>2</v>
      </c>
      <c r="F1290" s="4">
        <v>0</v>
      </c>
      <c r="G1290" s="4">
        <f t="shared" si="30"/>
        <v>0</v>
      </c>
      <c r="K1290" s="100"/>
    </row>
    <row r="1291" spans="2:11" s="38" customFormat="1" ht="38.25" outlineLevel="1">
      <c r="B1291" s="71" t="s">
        <v>1296</v>
      </c>
      <c r="C1291" s="132" t="s">
        <v>187</v>
      </c>
      <c r="D1291" s="51" t="s">
        <v>140</v>
      </c>
      <c r="E1291" s="112">
        <v>1</v>
      </c>
      <c r="F1291" s="4">
        <v>0</v>
      </c>
      <c r="G1291" s="4">
        <f t="shared" si="30"/>
        <v>0</v>
      </c>
      <c r="K1291" s="100"/>
    </row>
    <row r="1292" spans="2:11" s="38" customFormat="1" ht="38.25" outlineLevel="1">
      <c r="B1292" s="71" t="s">
        <v>1297</v>
      </c>
      <c r="C1292" s="132" t="s">
        <v>189</v>
      </c>
      <c r="D1292" s="51" t="s">
        <v>140</v>
      </c>
      <c r="E1292" s="112">
        <v>2</v>
      </c>
      <c r="F1292" s="4">
        <v>0</v>
      </c>
      <c r="G1292" s="4">
        <f t="shared" ref="G1292:G1298" si="31">E1292*F1292</f>
        <v>0</v>
      </c>
      <c r="K1292" s="100"/>
    </row>
    <row r="1293" spans="2:11" s="38" customFormat="1" ht="25.5" outlineLevel="1">
      <c r="B1293" s="71" t="s">
        <v>1298</v>
      </c>
      <c r="C1293" s="132" t="s">
        <v>191</v>
      </c>
      <c r="D1293" s="51" t="s">
        <v>140</v>
      </c>
      <c r="E1293" s="112">
        <v>1</v>
      </c>
      <c r="F1293" s="4">
        <v>0</v>
      </c>
      <c r="G1293" s="4">
        <f t="shared" si="31"/>
        <v>0</v>
      </c>
      <c r="K1293" s="100"/>
    </row>
    <row r="1294" spans="2:11" s="38" customFormat="1" ht="51" outlineLevel="1">
      <c r="B1294" s="71" t="s">
        <v>1299</v>
      </c>
      <c r="C1294" s="132" t="s">
        <v>193</v>
      </c>
      <c r="D1294" s="51" t="s">
        <v>140</v>
      </c>
      <c r="E1294" s="112">
        <v>1</v>
      </c>
      <c r="F1294" s="4"/>
      <c r="G1294" s="4">
        <f t="shared" si="31"/>
        <v>0</v>
      </c>
      <c r="K1294" s="100"/>
    </row>
    <row r="1295" spans="2:11" s="38" customFormat="1" ht="164.25" customHeight="1" outlineLevel="1">
      <c r="B1295" s="71" t="s">
        <v>1300</v>
      </c>
      <c r="C1295" s="132" t="s">
        <v>195</v>
      </c>
      <c r="D1295" s="51" t="s">
        <v>140</v>
      </c>
      <c r="E1295" s="112">
        <v>1</v>
      </c>
      <c r="F1295" s="4">
        <v>0</v>
      </c>
      <c r="G1295" s="4">
        <f t="shared" si="31"/>
        <v>0</v>
      </c>
      <c r="K1295" s="100"/>
    </row>
    <row r="1296" spans="2:11" s="38" customFormat="1" ht="82.5" customHeight="1" outlineLevel="1">
      <c r="B1296" s="71" t="s">
        <v>1301</v>
      </c>
      <c r="C1296" s="132" t="s">
        <v>197</v>
      </c>
      <c r="D1296" s="51" t="s">
        <v>140</v>
      </c>
      <c r="E1296" s="112">
        <v>1</v>
      </c>
      <c r="F1296" s="4"/>
      <c r="G1296" s="4">
        <f t="shared" si="31"/>
        <v>0</v>
      </c>
      <c r="K1296" s="100"/>
    </row>
    <row r="1297" spans="2:11" s="38" customFormat="1" ht="81.75" customHeight="1" outlineLevel="1">
      <c r="B1297" s="71" t="s">
        <v>1302</v>
      </c>
      <c r="C1297" s="50" t="s">
        <v>1229</v>
      </c>
      <c r="D1297" s="51" t="s">
        <v>140</v>
      </c>
      <c r="E1297" s="112">
        <v>2</v>
      </c>
      <c r="F1297" s="4"/>
      <c r="G1297" s="4">
        <f t="shared" si="31"/>
        <v>0</v>
      </c>
      <c r="K1297" s="93"/>
    </row>
    <row r="1298" spans="2:11" s="38" customFormat="1" ht="91.5" customHeight="1" outlineLevel="1">
      <c r="B1298" s="71" t="s">
        <v>1303</v>
      </c>
      <c r="C1298" s="132" t="s">
        <v>1231</v>
      </c>
      <c r="D1298" s="51" t="s">
        <v>140</v>
      </c>
      <c r="E1298" s="112">
        <v>1</v>
      </c>
      <c r="F1298" s="4"/>
      <c r="G1298" s="4">
        <f t="shared" si="31"/>
        <v>0</v>
      </c>
      <c r="K1298" s="93"/>
    </row>
    <row r="1299" spans="2:11" s="38" customFormat="1" ht="62.25" customHeight="1" outlineLevel="1">
      <c r="B1299" s="71" t="s">
        <v>1304</v>
      </c>
      <c r="C1299" s="50" t="s">
        <v>1233</v>
      </c>
      <c r="D1299" s="51" t="s">
        <v>140</v>
      </c>
      <c r="E1299" s="112">
        <v>1</v>
      </c>
      <c r="F1299" s="4"/>
      <c r="G1299" s="4">
        <f>E1299*F1299</f>
        <v>0</v>
      </c>
      <c r="K1299" s="93"/>
    </row>
    <row r="1300" spans="2:11" s="38" customFormat="1">
      <c r="B1300" s="71"/>
      <c r="C1300" s="55"/>
      <c r="D1300" s="56"/>
      <c r="E1300" s="124"/>
      <c r="F1300" s="4"/>
      <c r="G1300" s="4"/>
      <c r="K1300" s="100"/>
    </row>
    <row r="1301" spans="2:11" s="38" customFormat="1">
      <c r="B1301" s="72" t="s">
        <v>1305</v>
      </c>
      <c r="C1301" s="52"/>
      <c r="D1301" s="15"/>
      <c r="E1301" s="122"/>
      <c r="F1301" s="54"/>
      <c r="G1301" s="58">
        <f>SUM(G1228:G1299)</f>
        <v>0</v>
      </c>
      <c r="K1301" s="93"/>
    </row>
    <row r="1302" spans="2:11" s="38" customFormat="1" outlineLevel="1">
      <c r="B1302" s="71"/>
      <c r="C1302" s="50"/>
      <c r="D1302" s="51"/>
      <c r="E1302" s="112"/>
      <c r="F1302" s="4"/>
      <c r="G1302" s="59"/>
      <c r="K1302" s="100"/>
    </row>
    <row r="1303" spans="2:11" s="38" customFormat="1">
      <c r="B1303" s="114" t="s">
        <v>1306</v>
      </c>
      <c r="C1303" s="52"/>
      <c r="D1303" s="15"/>
      <c r="E1303" s="122"/>
      <c r="F1303" s="54"/>
      <c r="G1303" s="58"/>
      <c r="K1303" s="93"/>
    </row>
    <row r="1304" spans="2:11" s="38" customFormat="1" ht="38.25">
      <c r="B1304" s="116"/>
      <c r="C1304" s="55" t="s">
        <v>207</v>
      </c>
      <c r="D1304" s="11" t="s">
        <v>140</v>
      </c>
      <c r="E1304" s="121">
        <v>2</v>
      </c>
      <c r="F1304" s="13"/>
      <c r="G1304" s="113">
        <f>G1301*E1304</f>
        <v>0</v>
      </c>
      <c r="K1304" s="93"/>
    </row>
    <row r="1305" spans="2:11" s="38" customFormat="1" outlineLevel="1">
      <c r="B1305" s="71"/>
      <c r="C1305" s="50"/>
      <c r="D1305" s="51"/>
      <c r="E1305" s="112"/>
      <c r="F1305" s="4"/>
      <c r="G1305" s="59"/>
      <c r="K1305" s="100"/>
    </row>
    <row r="1306" spans="2:11" s="38" customFormat="1">
      <c r="B1306" s="72">
        <v>3.16</v>
      </c>
      <c r="C1306" s="70" t="s">
        <v>1307</v>
      </c>
      <c r="D1306" s="49"/>
      <c r="E1306" s="123">
        <v>0</v>
      </c>
      <c r="F1306" s="54">
        <v>0</v>
      </c>
      <c r="G1306" s="58"/>
      <c r="K1306" s="93"/>
    </row>
    <row r="1307" spans="2:11" s="38" customFormat="1">
      <c r="B1307" s="116"/>
      <c r="C1307" s="55"/>
      <c r="D1307" s="56"/>
      <c r="E1307" s="124"/>
      <c r="F1307" s="13"/>
      <c r="G1307" s="113"/>
      <c r="K1307" s="93"/>
    </row>
    <row r="1308" spans="2:11" s="38" customFormat="1" ht="38.25">
      <c r="B1308" s="116"/>
      <c r="C1308" s="138" t="s">
        <v>60</v>
      </c>
      <c r="D1308" s="56"/>
      <c r="E1308" s="124"/>
      <c r="F1308" s="13"/>
      <c r="G1308" s="59">
        <f t="shared" ref="G1308:G1371" si="32">E1308*F1308</f>
        <v>0</v>
      </c>
      <c r="K1308" s="93"/>
    </row>
    <row r="1309" spans="2:11" s="38" customFormat="1">
      <c r="B1309" s="116"/>
      <c r="C1309" s="55"/>
      <c r="D1309" s="56"/>
      <c r="E1309" s="124"/>
      <c r="F1309" s="13"/>
      <c r="G1309" s="59">
        <f t="shared" si="32"/>
        <v>0</v>
      </c>
      <c r="K1309" s="93"/>
    </row>
    <row r="1310" spans="2:11" s="38" customFormat="1">
      <c r="B1310" s="71" t="s">
        <v>1308</v>
      </c>
      <c r="C1310" s="55" t="s">
        <v>62</v>
      </c>
      <c r="D1310" s="56"/>
      <c r="E1310" s="124">
        <v>0</v>
      </c>
      <c r="F1310" s="13">
        <v>0</v>
      </c>
      <c r="G1310" s="59">
        <f t="shared" si="32"/>
        <v>0</v>
      </c>
      <c r="K1310" s="93"/>
    </row>
    <row r="1311" spans="2:11" s="38" customFormat="1" ht="221.25" customHeight="1" outlineLevel="1">
      <c r="B1311" s="71" t="s">
        <v>1309</v>
      </c>
      <c r="C1311" s="138" t="s">
        <v>64</v>
      </c>
      <c r="D1311" s="51" t="s">
        <v>38</v>
      </c>
      <c r="E1311" s="112">
        <v>1</v>
      </c>
      <c r="F1311" s="4"/>
      <c r="G1311" s="59">
        <f t="shared" si="32"/>
        <v>0</v>
      </c>
      <c r="K1311" s="93"/>
    </row>
    <row r="1312" spans="2:11" s="38" customFormat="1">
      <c r="B1312" s="71" t="s">
        <v>1310</v>
      </c>
      <c r="C1312" s="55" t="s">
        <v>66</v>
      </c>
      <c r="D1312" s="56"/>
      <c r="E1312" s="124">
        <v>0</v>
      </c>
      <c r="F1312" s="13"/>
      <c r="G1312" s="59">
        <f t="shared" si="32"/>
        <v>0</v>
      </c>
      <c r="K1312" s="93"/>
    </row>
    <row r="1313" spans="2:11" s="38" customFormat="1" ht="47.25" customHeight="1" outlineLevel="1">
      <c r="B1313" s="71" t="s">
        <v>1311</v>
      </c>
      <c r="C1313" s="138" t="s">
        <v>68</v>
      </c>
      <c r="D1313" s="138" t="s">
        <v>38</v>
      </c>
      <c r="E1313" s="139" t="s">
        <v>1312</v>
      </c>
      <c r="F1313" s="4"/>
      <c r="G1313" s="59">
        <f t="shared" si="32"/>
        <v>0</v>
      </c>
      <c r="K1313" s="100"/>
    </row>
    <row r="1314" spans="2:11" s="38" customFormat="1" ht="74.25" customHeight="1" outlineLevel="1">
      <c r="B1314" s="71" t="s">
        <v>1313</v>
      </c>
      <c r="C1314" s="138" t="s">
        <v>70</v>
      </c>
      <c r="D1314" s="138" t="s">
        <v>38</v>
      </c>
      <c r="E1314" s="139" t="s">
        <v>1312</v>
      </c>
      <c r="F1314" s="4"/>
      <c r="G1314" s="59">
        <f t="shared" si="32"/>
        <v>0</v>
      </c>
      <c r="K1314" s="100"/>
    </row>
    <row r="1315" spans="2:11" s="38" customFormat="1">
      <c r="B1315" s="71" t="s">
        <v>1314</v>
      </c>
      <c r="C1315" s="55" t="s">
        <v>72</v>
      </c>
      <c r="D1315" s="56"/>
      <c r="E1315" s="124">
        <v>0</v>
      </c>
      <c r="F1315" s="4">
        <v>0</v>
      </c>
      <c r="G1315" s="59">
        <f t="shared" si="32"/>
        <v>0</v>
      </c>
      <c r="K1315" s="93"/>
    </row>
    <row r="1316" spans="2:11" s="38" customFormat="1" ht="113.25" customHeight="1" outlineLevel="1">
      <c r="B1316" s="71" t="s">
        <v>1315</v>
      </c>
      <c r="C1316" s="138" t="s">
        <v>324</v>
      </c>
      <c r="D1316" s="51" t="s">
        <v>75</v>
      </c>
      <c r="E1316" s="112">
        <v>20.2</v>
      </c>
      <c r="F1316" s="4"/>
      <c r="G1316" s="59">
        <f t="shared" si="32"/>
        <v>0</v>
      </c>
      <c r="K1316" s="93"/>
    </row>
    <row r="1317" spans="2:11" s="38" customFormat="1" ht="67.5" customHeight="1" outlineLevel="1">
      <c r="B1317" s="71" t="s">
        <v>1316</v>
      </c>
      <c r="C1317" s="138" t="s">
        <v>77</v>
      </c>
      <c r="D1317" s="51" t="s">
        <v>75</v>
      </c>
      <c r="E1317" s="112">
        <v>11.57</v>
      </c>
      <c r="F1317" s="4"/>
      <c r="G1317" s="59">
        <f t="shared" si="32"/>
        <v>0</v>
      </c>
      <c r="K1317" s="93"/>
    </row>
    <row r="1318" spans="2:11" s="38" customFormat="1" ht="76.5" outlineLevel="1">
      <c r="B1318" s="71" t="s">
        <v>1317</v>
      </c>
      <c r="C1318" s="138" t="s">
        <v>327</v>
      </c>
      <c r="D1318" s="51" t="s">
        <v>75</v>
      </c>
      <c r="E1318" s="112">
        <v>24.14</v>
      </c>
      <c r="F1318" s="57"/>
      <c r="G1318" s="59">
        <f t="shared" si="32"/>
        <v>0</v>
      </c>
      <c r="K1318" s="93"/>
    </row>
    <row r="1319" spans="2:11" s="38" customFormat="1" ht="102" outlineLevel="1">
      <c r="B1319" s="71" t="s">
        <v>1318</v>
      </c>
      <c r="C1319" s="138" t="s">
        <v>329</v>
      </c>
      <c r="D1319" s="51" t="s">
        <v>75</v>
      </c>
      <c r="E1319" s="112">
        <v>2.7</v>
      </c>
      <c r="F1319" s="4"/>
      <c r="G1319" s="59">
        <f t="shared" si="32"/>
        <v>0</v>
      </c>
      <c r="K1319" s="93"/>
    </row>
    <row r="1320" spans="2:11" s="38" customFormat="1" ht="72.75" customHeight="1" outlineLevel="1">
      <c r="B1320" s="71" t="s">
        <v>1319</v>
      </c>
      <c r="C1320" s="138" t="s">
        <v>331</v>
      </c>
      <c r="D1320" s="51" t="s">
        <v>84</v>
      </c>
      <c r="E1320" s="112">
        <v>1.8</v>
      </c>
      <c r="F1320" s="4"/>
      <c r="G1320" s="59">
        <f t="shared" si="32"/>
        <v>0</v>
      </c>
      <c r="K1320" s="93"/>
    </row>
    <row r="1321" spans="2:11" s="38" customFormat="1" ht="41.25" customHeight="1" outlineLevel="1">
      <c r="B1321" s="71" t="s">
        <v>1320</v>
      </c>
      <c r="C1321" s="138" t="s">
        <v>221</v>
      </c>
      <c r="D1321" s="51" t="s">
        <v>84</v>
      </c>
      <c r="E1321" s="112">
        <v>10.93</v>
      </c>
      <c r="F1321" s="4"/>
      <c r="G1321" s="59">
        <f t="shared" si="32"/>
        <v>0</v>
      </c>
      <c r="K1321" s="93"/>
    </row>
    <row r="1322" spans="2:11" s="38" customFormat="1" ht="38.25" outlineLevel="1">
      <c r="B1322" s="71" t="s">
        <v>1321</v>
      </c>
      <c r="C1322" s="138" t="s">
        <v>223</v>
      </c>
      <c r="D1322" s="51" t="s">
        <v>84</v>
      </c>
      <c r="E1322" s="112">
        <v>3.86</v>
      </c>
      <c r="F1322" s="4"/>
      <c r="G1322" s="59">
        <f t="shared" si="32"/>
        <v>0</v>
      </c>
      <c r="K1322" s="93"/>
    </row>
    <row r="1323" spans="2:11" s="38" customFormat="1" ht="114.75" outlineLevel="1">
      <c r="B1323" s="71" t="s">
        <v>1322</v>
      </c>
      <c r="C1323" s="139" t="s">
        <v>335</v>
      </c>
      <c r="D1323" s="51" t="s">
        <v>91</v>
      </c>
      <c r="E1323" s="112">
        <v>1</v>
      </c>
      <c r="F1323" s="4"/>
      <c r="G1323" s="59">
        <f t="shared" si="32"/>
        <v>0</v>
      </c>
      <c r="K1323" s="93"/>
    </row>
    <row r="1324" spans="2:11" s="38" customFormat="1">
      <c r="B1324" s="71" t="s">
        <v>1323</v>
      </c>
      <c r="C1324" s="55" t="s">
        <v>93</v>
      </c>
      <c r="D1324" s="56"/>
      <c r="E1324" s="124">
        <v>0</v>
      </c>
      <c r="F1324" s="4">
        <v>0</v>
      </c>
      <c r="G1324" s="59">
        <f t="shared" si="32"/>
        <v>0</v>
      </c>
      <c r="K1324" s="93"/>
    </row>
    <row r="1325" spans="2:11" s="38" customFormat="1" ht="93" customHeight="1" outlineLevel="1">
      <c r="B1325" s="71" t="s">
        <v>1324</v>
      </c>
      <c r="C1325" s="138" t="s">
        <v>97</v>
      </c>
      <c r="D1325" s="51" t="s">
        <v>75</v>
      </c>
      <c r="E1325" s="112">
        <v>8.17</v>
      </c>
      <c r="F1325" s="4"/>
      <c r="G1325" s="59">
        <f t="shared" si="32"/>
        <v>0</v>
      </c>
      <c r="K1325" s="93"/>
    </row>
    <row r="1326" spans="2:11" s="38" customFormat="1" ht="105" customHeight="1" outlineLevel="1">
      <c r="B1326" s="71" t="s">
        <v>1325</v>
      </c>
      <c r="C1326" s="138" t="s">
        <v>99</v>
      </c>
      <c r="D1326" s="51" t="s">
        <v>75</v>
      </c>
      <c r="E1326" s="112">
        <v>44.53</v>
      </c>
      <c r="F1326" s="4"/>
      <c r="G1326" s="59">
        <f t="shared" si="32"/>
        <v>0</v>
      </c>
      <c r="K1326" s="93"/>
    </row>
    <row r="1327" spans="2:11" s="38" customFormat="1" ht="134.25" customHeight="1" outlineLevel="1">
      <c r="B1327" s="71" t="s">
        <v>1326</v>
      </c>
      <c r="C1327" s="138" t="s">
        <v>340</v>
      </c>
      <c r="D1327" s="51" t="s">
        <v>75</v>
      </c>
      <c r="E1327" s="112">
        <v>1.29</v>
      </c>
      <c r="F1327" s="4"/>
      <c r="G1327" s="59">
        <f t="shared" si="32"/>
        <v>0</v>
      </c>
      <c r="K1327" s="93"/>
    </row>
    <row r="1328" spans="2:11" s="38" customFormat="1" ht="89.25" outlineLevel="1">
      <c r="B1328" s="71" t="s">
        <v>1327</v>
      </c>
      <c r="C1328" s="132" t="s">
        <v>103</v>
      </c>
      <c r="D1328" s="51" t="s">
        <v>75</v>
      </c>
      <c r="E1328" s="112">
        <v>8.7799999999999994</v>
      </c>
      <c r="G1328" s="59">
        <f t="shared" si="32"/>
        <v>0</v>
      </c>
      <c r="K1328" s="93"/>
    </row>
    <row r="1329" spans="2:11" s="38" customFormat="1" ht="180" customHeight="1" outlineLevel="1">
      <c r="B1329" s="71" t="s">
        <v>1328</v>
      </c>
      <c r="C1329" s="130" t="s">
        <v>343</v>
      </c>
      <c r="D1329" s="51" t="s">
        <v>75</v>
      </c>
      <c r="E1329" s="112">
        <v>4.8099999999999996</v>
      </c>
      <c r="F1329" s="4"/>
      <c r="G1329" s="59">
        <f t="shared" si="32"/>
        <v>0</v>
      </c>
      <c r="K1329" s="93"/>
    </row>
    <row r="1330" spans="2:11" s="38" customFormat="1" ht="148.5" customHeight="1" outlineLevel="1">
      <c r="B1330" s="71" t="s">
        <v>1329</v>
      </c>
      <c r="C1330" s="132" t="s">
        <v>234</v>
      </c>
      <c r="D1330" s="51" t="s">
        <v>75</v>
      </c>
      <c r="E1330" s="112">
        <v>8.69</v>
      </c>
      <c r="F1330" s="4"/>
      <c r="G1330" s="59">
        <f t="shared" si="32"/>
        <v>0</v>
      </c>
      <c r="K1330" s="93"/>
    </row>
    <row r="1331" spans="2:11" s="38" customFormat="1" ht="178.5" outlineLevel="1">
      <c r="B1331" s="71" t="s">
        <v>1330</v>
      </c>
      <c r="C1331" s="139" t="s">
        <v>2617</v>
      </c>
      <c r="D1331" s="51" t="s">
        <v>75</v>
      </c>
      <c r="E1331" s="112">
        <v>2.91</v>
      </c>
      <c r="F1331" s="4"/>
      <c r="G1331" s="59">
        <f t="shared" si="32"/>
        <v>0</v>
      </c>
      <c r="K1331" s="93"/>
    </row>
    <row r="1332" spans="2:11" s="38" customFormat="1" ht="88.5" customHeight="1" outlineLevel="1">
      <c r="B1332" s="71" t="s">
        <v>1331</v>
      </c>
      <c r="C1332" s="138" t="s">
        <v>435</v>
      </c>
      <c r="D1332" s="51" t="s">
        <v>75</v>
      </c>
      <c r="E1332" s="112">
        <v>27.51</v>
      </c>
      <c r="F1332" s="4"/>
      <c r="G1332" s="59">
        <f t="shared" si="32"/>
        <v>0</v>
      </c>
      <c r="K1332" s="93"/>
    </row>
    <row r="1333" spans="2:11" s="38" customFormat="1" ht="87.75" customHeight="1" outlineLevel="1">
      <c r="B1333" s="71" t="s">
        <v>1332</v>
      </c>
      <c r="C1333" s="138" t="s">
        <v>437</v>
      </c>
      <c r="D1333" s="51" t="s">
        <v>75</v>
      </c>
      <c r="E1333" s="112">
        <v>11.41</v>
      </c>
      <c r="F1333" s="4"/>
      <c r="G1333" s="59">
        <f t="shared" si="32"/>
        <v>0</v>
      </c>
      <c r="K1333" s="93"/>
    </row>
    <row r="1334" spans="2:11" s="38" customFormat="1" ht="110.25" customHeight="1" outlineLevel="1">
      <c r="B1334" s="71" t="s">
        <v>1333</v>
      </c>
      <c r="C1334" s="138" t="s">
        <v>353</v>
      </c>
      <c r="D1334" s="51" t="s">
        <v>75</v>
      </c>
      <c r="E1334" s="112">
        <v>5.58</v>
      </c>
      <c r="F1334" s="4"/>
      <c r="G1334" s="59">
        <f t="shared" si="32"/>
        <v>0</v>
      </c>
      <c r="K1334" s="93"/>
    </row>
    <row r="1335" spans="2:11" s="38" customFormat="1" ht="105.75" customHeight="1" outlineLevel="1">
      <c r="B1335" s="71" t="s">
        <v>1334</v>
      </c>
      <c r="C1335" s="138" t="s">
        <v>440</v>
      </c>
      <c r="D1335" s="51" t="s">
        <v>84</v>
      </c>
      <c r="E1335" s="112">
        <v>4.76</v>
      </c>
      <c r="F1335" s="4"/>
      <c r="G1335" s="59">
        <f t="shared" si="32"/>
        <v>0</v>
      </c>
      <c r="K1335" s="93"/>
    </row>
    <row r="1336" spans="2:11" s="38" customFormat="1" ht="108.75" customHeight="1" outlineLevel="1">
      <c r="B1336" s="71" t="s">
        <v>1335</v>
      </c>
      <c r="C1336" s="138" t="s">
        <v>442</v>
      </c>
      <c r="D1336" s="51" t="s">
        <v>84</v>
      </c>
      <c r="E1336" s="112">
        <v>2.75</v>
      </c>
      <c r="F1336" s="4"/>
      <c r="G1336" s="59">
        <f t="shared" si="32"/>
        <v>0</v>
      </c>
      <c r="K1336" s="93"/>
    </row>
    <row r="1337" spans="2:11" s="38" customFormat="1" ht="97.5" customHeight="1" outlineLevel="1">
      <c r="B1337" s="71" t="s">
        <v>1336</v>
      </c>
      <c r="C1337" s="138" t="s">
        <v>248</v>
      </c>
      <c r="D1337" s="51" t="s">
        <v>84</v>
      </c>
      <c r="E1337" s="112">
        <v>5.5</v>
      </c>
      <c r="F1337" s="4"/>
      <c r="G1337" s="59">
        <f t="shared" si="32"/>
        <v>0</v>
      </c>
      <c r="K1337" s="93"/>
    </row>
    <row r="1338" spans="2:11" s="38" customFormat="1" outlineLevel="1">
      <c r="B1338" s="71"/>
      <c r="C1338" s="50"/>
      <c r="D1338" s="51"/>
      <c r="E1338" s="112"/>
      <c r="F1338" s="4"/>
      <c r="G1338" s="59">
        <f t="shared" si="32"/>
        <v>0</v>
      </c>
      <c r="K1338" s="93"/>
    </row>
    <row r="1339" spans="2:11" s="38" customFormat="1">
      <c r="B1339" s="71" t="s">
        <v>1337</v>
      </c>
      <c r="C1339" s="55" t="s">
        <v>123</v>
      </c>
      <c r="D1339" s="56"/>
      <c r="E1339" s="124">
        <v>0</v>
      </c>
      <c r="F1339" s="4"/>
      <c r="G1339" s="59">
        <f t="shared" si="32"/>
        <v>0</v>
      </c>
      <c r="K1339" s="93"/>
    </row>
    <row r="1340" spans="2:11" s="38" customFormat="1" ht="154.5" customHeight="1" outlineLevel="1">
      <c r="B1340" s="71" t="s">
        <v>1338</v>
      </c>
      <c r="C1340" s="138" t="s">
        <v>361</v>
      </c>
      <c r="D1340" s="51" t="s">
        <v>75</v>
      </c>
      <c r="E1340" s="112">
        <v>4.58</v>
      </c>
      <c r="F1340" s="4"/>
      <c r="G1340" s="59">
        <f t="shared" si="32"/>
        <v>0</v>
      </c>
      <c r="K1340" s="93"/>
    </row>
    <row r="1341" spans="2:11" s="38" customFormat="1" ht="198.75" customHeight="1" outlineLevel="1">
      <c r="B1341" s="71" t="s">
        <v>1339</v>
      </c>
      <c r="C1341" s="138" t="s">
        <v>363</v>
      </c>
      <c r="D1341" s="51" t="s">
        <v>75</v>
      </c>
      <c r="E1341" s="112">
        <v>3.82</v>
      </c>
      <c r="F1341" s="4"/>
      <c r="G1341" s="59">
        <f t="shared" si="32"/>
        <v>0</v>
      </c>
      <c r="K1341" s="93"/>
    </row>
    <row r="1342" spans="2:11" s="38" customFormat="1" ht="136.5" customHeight="1" outlineLevel="1">
      <c r="B1342" s="71" t="s">
        <v>1340</v>
      </c>
      <c r="C1342" s="138" t="s">
        <v>365</v>
      </c>
      <c r="D1342" s="51" t="s">
        <v>84</v>
      </c>
      <c r="E1342" s="112">
        <v>4.2300000000000004</v>
      </c>
      <c r="F1342" s="4"/>
      <c r="G1342" s="59">
        <f t="shared" si="32"/>
        <v>0</v>
      </c>
      <c r="K1342" s="93"/>
    </row>
    <row r="1343" spans="2:11" s="38" customFormat="1" ht="88.5" customHeight="1" outlineLevel="1">
      <c r="B1343" s="71" t="s">
        <v>1341</v>
      </c>
      <c r="C1343" s="138" t="s">
        <v>254</v>
      </c>
      <c r="D1343" s="51" t="s">
        <v>75</v>
      </c>
      <c r="E1343" s="112">
        <v>7.98</v>
      </c>
      <c r="F1343" s="4"/>
      <c r="G1343" s="59">
        <f t="shared" si="32"/>
        <v>0</v>
      </c>
      <c r="K1343" s="93"/>
    </row>
    <row r="1344" spans="2:11" s="38" customFormat="1" ht="117" customHeight="1" outlineLevel="1">
      <c r="B1344" s="71" t="s">
        <v>1342</v>
      </c>
      <c r="C1344" s="138" t="s">
        <v>452</v>
      </c>
      <c r="D1344" s="51" t="s">
        <v>75</v>
      </c>
      <c r="E1344" s="112">
        <v>3.23</v>
      </c>
      <c r="F1344" s="4"/>
      <c r="G1344" s="59">
        <f t="shared" si="32"/>
        <v>0</v>
      </c>
      <c r="K1344" s="93"/>
    </row>
    <row r="1345" spans="2:11" s="38" customFormat="1" ht="89.25" outlineLevel="1">
      <c r="B1345" s="71" t="s">
        <v>1343</v>
      </c>
      <c r="C1345" s="138" t="s">
        <v>370</v>
      </c>
      <c r="D1345" s="51" t="s">
        <v>75</v>
      </c>
      <c r="E1345" s="112">
        <v>3.82</v>
      </c>
      <c r="F1345" s="4"/>
      <c r="G1345" s="59">
        <f t="shared" si="32"/>
        <v>0</v>
      </c>
      <c r="K1345" s="93"/>
    </row>
    <row r="1346" spans="2:11" s="38" customFormat="1" ht="76.5" outlineLevel="1">
      <c r="B1346" s="71" t="s">
        <v>1344</v>
      </c>
      <c r="C1346" s="138" t="s">
        <v>260</v>
      </c>
      <c r="D1346" s="51" t="s">
        <v>75</v>
      </c>
      <c r="E1346" s="112">
        <v>9.64</v>
      </c>
      <c r="F1346" s="4"/>
      <c r="G1346" s="59">
        <f t="shared" si="32"/>
        <v>0</v>
      </c>
      <c r="K1346" s="93"/>
    </row>
    <row r="1347" spans="2:11" s="38" customFormat="1" ht="66" customHeight="1" outlineLevel="1">
      <c r="B1347" s="71" t="s">
        <v>1345</v>
      </c>
      <c r="C1347" s="138" t="s">
        <v>139</v>
      </c>
      <c r="D1347" s="51" t="s">
        <v>140</v>
      </c>
      <c r="E1347" s="112">
        <v>1</v>
      </c>
      <c r="F1347" s="4"/>
      <c r="G1347" s="59">
        <f t="shared" si="32"/>
        <v>0</v>
      </c>
      <c r="K1347" s="93"/>
    </row>
    <row r="1348" spans="2:11" s="38" customFormat="1" ht="99" customHeight="1" outlineLevel="1">
      <c r="B1348" s="71" t="s">
        <v>1346</v>
      </c>
      <c r="C1348" s="138" t="s">
        <v>263</v>
      </c>
      <c r="D1348" s="51" t="s">
        <v>84</v>
      </c>
      <c r="E1348" s="112">
        <v>3.4</v>
      </c>
      <c r="F1348" s="4"/>
      <c r="G1348" s="59">
        <f t="shared" si="32"/>
        <v>0</v>
      </c>
      <c r="K1348" s="93"/>
    </row>
    <row r="1349" spans="2:11" s="38" customFormat="1" ht="90.75" customHeight="1" outlineLevel="1">
      <c r="B1349" s="71" t="s">
        <v>1347</v>
      </c>
      <c r="C1349" s="138" t="s">
        <v>265</v>
      </c>
      <c r="D1349" s="51" t="s">
        <v>84</v>
      </c>
      <c r="E1349" s="112">
        <v>10.47</v>
      </c>
      <c r="F1349" s="4"/>
      <c r="G1349" s="59">
        <f t="shared" si="32"/>
        <v>0</v>
      </c>
      <c r="K1349" s="93"/>
    </row>
    <row r="1350" spans="2:11" s="38" customFormat="1">
      <c r="B1350" s="71" t="s">
        <v>1348</v>
      </c>
      <c r="C1350" s="55" t="s">
        <v>146</v>
      </c>
      <c r="D1350" s="56"/>
      <c r="E1350" s="124">
        <v>0</v>
      </c>
      <c r="F1350" s="4"/>
      <c r="G1350" s="59">
        <f t="shared" si="32"/>
        <v>0</v>
      </c>
      <c r="K1350" s="93"/>
    </row>
    <row r="1351" spans="2:11" s="38" customFormat="1" ht="216.75" outlineLevel="1">
      <c r="B1351" s="127" t="s">
        <v>1349</v>
      </c>
      <c r="C1351" s="139" t="s">
        <v>2637</v>
      </c>
      <c r="D1351" s="51" t="s">
        <v>140</v>
      </c>
      <c r="E1351" s="112">
        <v>1</v>
      </c>
      <c r="F1351" s="4"/>
      <c r="G1351" s="59">
        <f t="shared" si="32"/>
        <v>0</v>
      </c>
      <c r="K1351" s="93"/>
    </row>
    <row r="1352" spans="2:11" s="38" customFormat="1" ht="165.75" outlineLevel="1">
      <c r="B1352" s="127" t="s">
        <v>1350</v>
      </c>
      <c r="C1352" s="139" t="s">
        <v>269</v>
      </c>
      <c r="D1352" s="51" t="s">
        <v>140</v>
      </c>
      <c r="E1352" s="112">
        <v>1</v>
      </c>
      <c r="F1352" s="4"/>
      <c r="G1352" s="59">
        <f t="shared" si="32"/>
        <v>0</v>
      </c>
      <c r="K1352" s="93"/>
    </row>
    <row r="1353" spans="2:11" s="38" customFormat="1">
      <c r="B1353" s="71" t="s">
        <v>1351</v>
      </c>
      <c r="C1353" s="55" t="s">
        <v>151</v>
      </c>
      <c r="D1353" s="56"/>
      <c r="E1353" s="124">
        <v>0</v>
      </c>
      <c r="F1353" s="4"/>
      <c r="G1353" s="59">
        <f t="shared" si="32"/>
        <v>0</v>
      </c>
      <c r="K1353" s="93"/>
    </row>
    <row r="1354" spans="2:11" s="38" customFormat="1" ht="44.25" customHeight="1" outlineLevel="1">
      <c r="B1354" s="71" t="s">
        <v>1352</v>
      </c>
      <c r="C1354" s="138" t="s">
        <v>153</v>
      </c>
      <c r="D1354" s="51" t="s">
        <v>140</v>
      </c>
      <c r="E1354" s="112">
        <v>1</v>
      </c>
      <c r="F1354" s="13"/>
      <c r="G1354" s="59">
        <f t="shared" si="32"/>
        <v>0</v>
      </c>
      <c r="K1354" s="93"/>
    </row>
    <row r="1355" spans="2:11" s="38" customFormat="1" ht="45.75" customHeight="1" outlineLevel="1">
      <c r="B1355" s="71" t="s">
        <v>1353</v>
      </c>
      <c r="C1355" s="138" t="s">
        <v>155</v>
      </c>
      <c r="D1355" s="51" t="s">
        <v>140</v>
      </c>
      <c r="E1355" s="112">
        <v>1</v>
      </c>
      <c r="F1355" s="13"/>
      <c r="G1355" s="59">
        <f t="shared" si="32"/>
        <v>0</v>
      </c>
      <c r="K1355" s="93"/>
    </row>
    <row r="1356" spans="2:11" s="38" customFormat="1">
      <c r="B1356" s="71" t="s">
        <v>1354</v>
      </c>
      <c r="C1356" s="55" t="s">
        <v>157</v>
      </c>
      <c r="D1356" s="56"/>
      <c r="E1356" s="124">
        <v>0</v>
      </c>
      <c r="F1356" s="4">
        <v>0</v>
      </c>
      <c r="G1356" s="59">
        <f t="shared" si="32"/>
        <v>0</v>
      </c>
      <c r="K1356" s="93"/>
    </row>
    <row r="1357" spans="2:11" s="38" customFormat="1" ht="51" outlineLevel="1">
      <c r="B1357" s="98"/>
      <c r="C1357" s="138" t="s">
        <v>158</v>
      </c>
      <c r="D1357" s="51"/>
      <c r="E1357" s="112"/>
      <c r="F1357" s="4"/>
      <c r="G1357" s="59">
        <f t="shared" si="32"/>
        <v>0</v>
      </c>
      <c r="K1357" s="93"/>
    </row>
    <row r="1358" spans="2:11" s="38" customFormat="1" ht="51" outlineLevel="1">
      <c r="B1358" s="71" t="s">
        <v>1355</v>
      </c>
      <c r="C1358" s="138" t="s">
        <v>160</v>
      </c>
      <c r="D1358" s="51" t="s">
        <v>140</v>
      </c>
      <c r="E1358" s="112">
        <v>1</v>
      </c>
      <c r="F1358" s="4"/>
      <c r="G1358" s="59">
        <f t="shared" si="32"/>
        <v>0</v>
      </c>
      <c r="K1358" s="100"/>
    </row>
    <row r="1359" spans="2:11" s="38" customFormat="1" ht="38.25" outlineLevel="1">
      <c r="B1359" s="71" t="s">
        <v>1356</v>
      </c>
      <c r="C1359" s="138" t="s">
        <v>276</v>
      </c>
      <c r="D1359" s="51" t="s">
        <v>140</v>
      </c>
      <c r="E1359" s="112">
        <v>1</v>
      </c>
      <c r="F1359" s="4"/>
      <c r="G1359" s="59">
        <f t="shared" si="32"/>
        <v>0</v>
      </c>
      <c r="K1359" s="100"/>
    </row>
    <row r="1360" spans="2:11" s="38" customFormat="1" ht="51" outlineLevel="1">
      <c r="B1360" s="71" t="s">
        <v>1357</v>
      </c>
      <c r="C1360" s="138" t="s">
        <v>164</v>
      </c>
      <c r="D1360" s="51" t="s">
        <v>140</v>
      </c>
      <c r="E1360" s="112">
        <v>1</v>
      </c>
      <c r="F1360" s="4"/>
      <c r="G1360" s="59">
        <f t="shared" si="32"/>
        <v>0</v>
      </c>
      <c r="K1360" s="100"/>
    </row>
    <row r="1361" spans="2:11" s="38" customFormat="1" ht="159" customHeight="1" outlineLevel="1">
      <c r="B1361" s="71" t="s">
        <v>1358</v>
      </c>
      <c r="C1361" s="138" t="s">
        <v>166</v>
      </c>
      <c r="D1361" s="51" t="s">
        <v>140</v>
      </c>
      <c r="E1361" s="112">
        <v>1</v>
      </c>
      <c r="F1361" s="4"/>
      <c r="G1361" s="59">
        <f t="shared" si="32"/>
        <v>0</v>
      </c>
      <c r="K1361" s="100"/>
    </row>
    <row r="1362" spans="2:11" s="38" customFormat="1" ht="116.25" customHeight="1" outlineLevel="1">
      <c r="B1362" s="71" t="s">
        <v>1359</v>
      </c>
      <c r="C1362" s="138" t="s">
        <v>168</v>
      </c>
      <c r="D1362" s="51" t="s">
        <v>140</v>
      </c>
      <c r="E1362" s="112">
        <v>1</v>
      </c>
      <c r="F1362" s="4"/>
      <c r="G1362" s="59">
        <f t="shared" si="32"/>
        <v>0</v>
      </c>
      <c r="K1362" s="100"/>
    </row>
    <row r="1363" spans="2:11" s="38" customFormat="1" ht="66" customHeight="1" outlineLevel="1">
      <c r="B1363" s="71" t="s">
        <v>1360</v>
      </c>
      <c r="C1363" s="138" t="s">
        <v>170</v>
      </c>
      <c r="D1363" s="51" t="s">
        <v>140</v>
      </c>
      <c r="E1363" s="112">
        <v>1</v>
      </c>
      <c r="F1363" s="4"/>
      <c r="G1363" s="59">
        <f t="shared" si="32"/>
        <v>0</v>
      </c>
      <c r="K1363" s="100"/>
    </row>
    <row r="1364" spans="2:11" s="38" customFormat="1" ht="38.25" outlineLevel="1">
      <c r="B1364" s="71" t="s">
        <v>1361</v>
      </c>
      <c r="C1364" s="138" t="s">
        <v>172</v>
      </c>
      <c r="D1364" s="51" t="s">
        <v>140</v>
      </c>
      <c r="E1364" s="112">
        <v>1</v>
      </c>
      <c r="F1364" s="4"/>
      <c r="G1364" s="59">
        <f t="shared" si="32"/>
        <v>0</v>
      </c>
      <c r="K1364" s="100"/>
    </row>
    <row r="1365" spans="2:11" s="38" customFormat="1" ht="51" outlineLevel="1">
      <c r="B1365" s="71" t="s">
        <v>1362</v>
      </c>
      <c r="C1365" s="138" t="s">
        <v>174</v>
      </c>
      <c r="D1365" s="51" t="s">
        <v>140</v>
      </c>
      <c r="E1365" s="112">
        <v>1</v>
      </c>
      <c r="F1365" s="4"/>
      <c r="G1365" s="59">
        <f t="shared" si="32"/>
        <v>0</v>
      </c>
      <c r="K1365" s="100"/>
    </row>
    <row r="1366" spans="2:11" s="38" customFormat="1" ht="51" outlineLevel="1">
      <c r="B1366" s="71" t="s">
        <v>1363</v>
      </c>
      <c r="C1366" s="138" t="s">
        <v>2638</v>
      </c>
      <c r="D1366" s="51" t="s">
        <v>140</v>
      </c>
      <c r="E1366" s="112">
        <v>1</v>
      </c>
      <c r="F1366" s="4"/>
      <c r="G1366" s="59">
        <f t="shared" si="32"/>
        <v>0</v>
      </c>
      <c r="K1366" s="100"/>
    </row>
    <row r="1367" spans="2:11" s="38" customFormat="1" ht="51" outlineLevel="1">
      <c r="B1367" s="71" t="s">
        <v>1364</v>
      </c>
      <c r="C1367" s="138" t="s">
        <v>177</v>
      </c>
      <c r="D1367" s="51" t="s">
        <v>140</v>
      </c>
      <c r="E1367" s="112">
        <v>1</v>
      </c>
      <c r="F1367" s="4"/>
      <c r="G1367" s="59">
        <f t="shared" si="32"/>
        <v>0</v>
      </c>
      <c r="K1367" s="100"/>
    </row>
    <row r="1368" spans="2:11" s="38" customFormat="1" ht="63.75" outlineLevel="1">
      <c r="B1368" s="71" t="s">
        <v>1365</v>
      </c>
      <c r="C1368" s="138" t="s">
        <v>179</v>
      </c>
      <c r="D1368" s="51" t="s">
        <v>140</v>
      </c>
      <c r="E1368" s="112">
        <v>1</v>
      </c>
      <c r="F1368" s="4"/>
      <c r="G1368" s="59">
        <f t="shared" si="32"/>
        <v>0</v>
      </c>
      <c r="K1368" s="100"/>
    </row>
    <row r="1369" spans="2:11" s="38" customFormat="1" ht="51" outlineLevel="1">
      <c r="B1369" s="71" t="s">
        <v>1366</v>
      </c>
      <c r="C1369" s="138" t="s">
        <v>181</v>
      </c>
      <c r="D1369" s="51" t="s">
        <v>140</v>
      </c>
      <c r="E1369" s="112">
        <v>1</v>
      </c>
      <c r="F1369" s="4"/>
      <c r="G1369" s="59">
        <f t="shared" si="32"/>
        <v>0</v>
      </c>
      <c r="K1369" s="100"/>
    </row>
    <row r="1370" spans="2:11" s="38" customFormat="1" ht="25.5" outlineLevel="1">
      <c r="B1370" s="71" t="s">
        <v>1367</v>
      </c>
      <c r="C1370" s="138" t="s">
        <v>183</v>
      </c>
      <c r="D1370" s="51" t="s">
        <v>140</v>
      </c>
      <c r="E1370" s="112">
        <v>1</v>
      </c>
      <c r="F1370" s="4"/>
      <c r="G1370" s="59">
        <f t="shared" si="32"/>
        <v>0</v>
      </c>
      <c r="K1370" s="100"/>
    </row>
    <row r="1371" spans="2:11" s="38" customFormat="1" ht="38.25" outlineLevel="1">
      <c r="B1371" s="71" t="s">
        <v>1368</v>
      </c>
      <c r="C1371" s="138" t="s">
        <v>185</v>
      </c>
      <c r="D1371" s="51" t="s">
        <v>140</v>
      </c>
      <c r="E1371" s="112">
        <v>2</v>
      </c>
      <c r="F1371" s="4">
        <v>0</v>
      </c>
      <c r="G1371" s="59">
        <f t="shared" si="32"/>
        <v>0</v>
      </c>
      <c r="K1371" s="100"/>
    </row>
    <row r="1372" spans="2:11" s="38" customFormat="1" ht="38.25" outlineLevel="1">
      <c r="B1372" s="71" t="s">
        <v>1369</v>
      </c>
      <c r="C1372" s="138" t="s">
        <v>187</v>
      </c>
      <c r="D1372" s="51" t="s">
        <v>140</v>
      </c>
      <c r="E1372" s="112">
        <v>1</v>
      </c>
      <c r="F1372" s="4">
        <v>0</v>
      </c>
      <c r="G1372" s="59">
        <f t="shared" ref="G1372:G1380" si="33">E1372*F1372</f>
        <v>0</v>
      </c>
      <c r="K1372" s="100"/>
    </row>
    <row r="1373" spans="2:11" s="38" customFormat="1" ht="38.25" outlineLevel="1">
      <c r="B1373" s="71" t="s">
        <v>1370</v>
      </c>
      <c r="C1373" s="138" t="s">
        <v>189</v>
      </c>
      <c r="D1373" s="51" t="s">
        <v>140</v>
      </c>
      <c r="E1373" s="112">
        <v>2</v>
      </c>
      <c r="F1373" s="4">
        <v>0</v>
      </c>
      <c r="G1373" s="59">
        <f t="shared" si="33"/>
        <v>0</v>
      </c>
      <c r="K1373" s="100"/>
    </row>
    <row r="1374" spans="2:11" s="38" customFormat="1" ht="25.5" outlineLevel="1">
      <c r="B1374" s="71" t="s">
        <v>1371</v>
      </c>
      <c r="C1374" s="138" t="s">
        <v>191</v>
      </c>
      <c r="D1374" s="51" t="s">
        <v>140</v>
      </c>
      <c r="E1374" s="112">
        <v>1</v>
      </c>
      <c r="F1374" s="4">
        <v>0</v>
      </c>
      <c r="G1374" s="59">
        <f t="shared" si="33"/>
        <v>0</v>
      </c>
      <c r="K1374" s="100"/>
    </row>
    <row r="1375" spans="2:11" s="38" customFormat="1" ht="48.75" customHeight="1" outlineLevel="1">
      <c r="B1375" s="71" t="s">
        <v>1372</v>
      </c>
      <c r="C1375" s="138" t="s">
        <v>193</v>
      </c>
      <c r="D1375" s="51" t="s">
        <v>140</v>
      </c>
      <c r="E1375" s="112">
        <v>1</v>
      </c>
      <c r="F1375" s="4"/>
      <c r="G1375" s="59">
        <f t="shared" si="33"/>
        <v>0</v>
      </c>
      <c r="K1375" s="100"/>
    </row>
    <row r="1376" spans="2:11" s="38" customFormat="1" ht="160.5" customHeight="1" outlineLevel="1">
      <c r="B1376" s="71" t="s">
        <v>1373</v>
      </c>
      <c r="C1376" s="138" t="s">
        <v>195</v>
      </c>
      <c r="D1376" s="51" t="s">
        <v>140</v>
      </c>
      <c r="E1376" s="112">
        <v>1</v>
      </c>
      <c r="F1376" s="4">
        <v>0</v>
      </c>
      <c r="G1376" s="59">
        <f t="shared" si="33"/>
        <v>0</v>
      </c>
      <c r="K1376" s="100"/>
    </row>
    <row r="1377" spans="2:11" s="38" customFormat="1" ht="78" customHeight="1" outlineLevel="1">
      <c r="B1377" s="71" t="s">
        <v>1374</v>
      </c>
      <c r="C1377" s="138" t="s">
        <v>197</v>
      </c>
      <c r="D1377" s="51" t="s">
        <v>140</v>
      </c>
      <c r="E1377" s="112">
        <v>1</v>
      </c>
      <c r="F1377" s="4"/>
      <c r="G1377" s="59">
        <f t="shared" si="33"/>
        <v>0</v>
      </c>
      <c r="K1377" s="100"/>
    </row>
    <row r="1378" spans="2:11" s="38" customFormat="1" ht="102" outlineLevel="1">
      <c r="B1378" s="71" t="s">
        <v>1375</v>
      </c>
      <c r="C1378" s="132" t="s">
        <v>2633</v>
      </c>
      <c r="D1378" s="51" t="s">
        <v>140</v>
      </c>
      <c r="E1378" s="112">
        <v>1</v>
      </c>
      <c r="F1378" s="4"/>
      <c r="G1378" s="59">
        <f t="shared" si="33"/>
        <v>0</v>
      </c>
      <c r="K1378" s="93"/>
    </row>
    <row r="1379" spans="2:11" s="38" customFormat="1" ht="109.5" customHeight="1" outlineLevel="1">
      <c r="B1379" s="71" t="s">
        <v>1376</v>
      </c>
      <c r="C1379" s="138" t="s">
        <v>1155</v>
      </c>
      <c r="D1379" s="51" t="s">
        <v>140</v>
      </c>
      <c r="E1379" s="112">
        <v>1</v>
      </c>
      <c r="F1379" s="4"/>
      <c r="G1379" s="59">
        <f t="shared" si="33"/>
        <v>0</v>
      </c>
      <c r="K1379" s="93"/>
    </row>
    <row r="1380" spans="2:11" s="38" customFormat="1">
      <c r="B1380" s="71" t="s">
        <v>1377</v>
      </c>
      <c r="C1380" s="55" t="s">
        <v>202</v>
      </c>
      <c r="D1380" s="56"/>
      <c r="E1380" s="124">
        <v>0</v>
      </c>
      <c r="F1380" s="4"/>
      <c r="G1380" s="59">
        <f t="shared" si="33"/>
        <v>0</v>
      </c>
      <c r="K1380" s="100"/>
    </row>
    <row r="1381" spans="2:11" s="38" customFormat="1" ht="63.75" outlineLevel="1">
      <c r="B1381" s="71" t="s">
        <v>1378</v>
      </c>
      <c r="C1381" s="138" t="s">
        <v>204</v>
      </c>
      <c r="D1381" s="51" t="s">
        <v>84</v>
      </c>
      <c r="E1381" s="112">
        <v>2.2999999999999998</v>
      </c>
      <c r="F1381" s="4"/>
      <c r="G1381" s="59">
        <f>E1381*F1381</f>
        <v>0</v>
      </c>
      <c r="K1381" s="100"/>
    </row>
    <row r="1382" spans="2:11" s="38" customFormat="1">
      <c r="B1382" s="71"/>
      <c r="C1382" s="55"/>
      <c r="D1382" s="56"/>
      <c r="E1382" s="124"/>
      <c r="F1382" s="4"/>
      <c r="G1382" s="4"/>
      <c r="K1382" s="100"/>
    </row>
    <row r="1383" spans="2:11" s="38" customFormat="1">
      <c r="B1383" s="72" t="s">
        <v>1379</v>
      </c>
      <c r="C1383" s="52"/>
      <c r="D1383" s="15"/>
      <c r="E1383" s="122"/>
      <c r="F1383" s="54"/>
      <c r="G1383" s="58">
        <f>SUM(G1308:G1381)</f>
        <v>0</v>
      </c>
      <c r="K1383" s="93"/>
    </row>
    <row r="1384" spans="2:11" s="38" customFormat="1" outlineLevel="1">
      <c r="B1384" s="71"/>
      <c r="C1384" s="50"/>
      <c r="D1384" s="51"/>
      <c r="E1384" s="112"/>
      <c r="F1384" s="4"/>
      <c r="G1384" s="59"/>
      <c r="K1384" s="100"/>
    </row>
    <row r="1385" spans="2:11" s="38" customFormat="1">
      <c r="B1385" s="114" t="s">
        <v>1380</v>
      </c>
      <c r="C1385" s="52"/>
      <c r="D1385" s="15"/>
      <c r="E1385" s="122"/>
      <c r="F1385" s="54"/>
      <c r="G1385" s="58"/>
      <c r="K1385" s="93"/>
    </row>
    <row r="1386" spans="2:11" s="38" customFormat="1" ht="38.25">
      <c r="B1386" s="116"/>
      <c r="C1386" s="55" t="s">
        <v>207</v>
      </c>
      <c r="D1386" s="11" t="s">
        <v>140</v>
      </c>
      <c r="E1386" s="121">
        <v>66</v>
      </c>
      <c r="F1386" s="13"/>
      <c r="G1386" s="113">
        <f>G1383*E1386</f>
        <v>0</v>
      </c>
      <c r="K1386" s="93"/>
    </row>
    <row r="1387" spans="2:11" s="38" customFormat="1" outlineLevel="1">
      <c r="B1387" s="71"/>
      <c r="C1387" s="50"/>
      <c r="D1387" s="51"/>
      <c r="E1387" s="112"/>
      <c r="F1387" s="4"/>
      <c r="G1387" s="59"/>
      <c r="K1387" s="100"/>
    </row>
    <row r="1388" spans="2:11" s="38" customFormat="1">
      <c r="B1388" s="72">
        <v>3.17</v>
      </c>
      <c r="C1388" s="70" t="s">
        <v>1381</v>
      </c>
      <c r="D1388" s="49"/>
      <c r="E1388" s="123">
        <v>0</v>
      </c>
      <c r="F1388" s="54">
        <v>0</v>
      </c>
      <c r="G1388" s="58"/>
      <c r="K1388" s="93"/>
    </row>
    <row r="1389" spans="2:11" s="38" customFormat="1">
      <c r="B1389" s="116"/>
      <c r="C1389" s="55"/>
      <c r="D1389" s="56"/>
      <c r="E1389" s="124"/>
      <c r="F1389" s="13"/>
      <c r="G1389" s="113"/>
      <c r="K1389" s="93"/>
    </row>
    <row r="1390" spans="2:11" s="38" customFormat="1" ht="38.25">
      <c r="B1390" s="116"/>
      <c r="C1390" s="138" t="s">
        <v>60</v>
      </c>
      <c r="D1390" s="56"/>
      <c r="E1390" s="124"/>
      <c r="F1390" s="13"/>
      <c r="G1390" s="113"/>
      <c r="K1390" s="93"/>
    </row>
    <row r="1391" spans="2:11" s="38" customFormat="1">
      <c r="B1391" s="116"/>
      <c r="C1391" s="55"/>
      <c r="D1391" s="56"/>
      <c r="E1391" s="124"/>
      <c r="F1391" s="13"/>
      <c r="G1391" s="113"/>
      <c r="K1391" s="93"/>
    </row>
    <row r="1392" spans="2:11" s="38" customFormat="1">
      <c r="B1392" s="71" t="s">
        <v>1382</v>
      </c>
      <c r="C1392" s="55" t="s">
        <v>62</v>
      </c>
      <c r="D1392" s="56"/>
      <c r="E1392" s="124">
        <v>0</v>
      </c>
      <c r="F1392" s="13">
        <v>0</v>
      </c>
      <c r="G1392" s="13">
        <f>F1392*E1392</f>
        <v>0</v>
      </c>
      <c r="K1392" s="93"/>
    </row>
    <row r="1393" spans="2:11" s="38" customFormat="1" ht="198.75" customHeight="1" outlineLevel="1">
      <c r="B1393" s="71" t="s">
        <v>1383</v>
      </c>
      <c r="C1393" s="138" t="s">
        <v>64</v>
      </c>
      <c r="D1393" s="51" t="s">
        <v>38</v>
      </c>
      <c r="E1393" s="112">
        <v>1</v>
      </c>
      <c r="F1393" s="4"/>
      <c r="G1393" s="4">
        <f>E1393*F1393</f>
        <v>0</v>
      </c>
      <c r="K1393" s="93"/>
    </row>
    <row r="1394" spans="2:11" s="38" customFormat="1">
      <c r="B1394" s="71" t="s">
        <v>1384</v>
      </c>
      <c r="C1394" s="55" t="s">
        <v>66</v>
      </c>
      <c r="D1394" s="56"/>
      <c r="E1394" s="124">
        <v>0</v>
      </c>
      <c r="F1394" s="13"/>
      <c r="G1394" s="13"/>
      <c r="K1394" s="93"/>
    </row>
    <row r="1395" spans="2:11" s="38" customFormat="1" ht="38.25" outlineLevel="1">
      <c r="B1395" s="71" t="s">
        <v>1385</v>
      </c>
      <c r="C1395" s="138" t="s">
        <v>68</v>
      </c>
      <c r="D1395" s="138" t="s">
        <v>38</v>
      </c>
      <c r="E1395" s="139" t="s">
        <v>1312</v>
      </c>
      <c r="F1395" s="4"/>
      <c r="G1395" s="4"/>
      <c r="K1395" s="100"/>
    </row>
    <row r="1396" spans="2:11" s="38" customFormat="1" ht="51" outlineLevel="1">
      <c r="B1396" s="71" t="s">
        <v>1386</v>
      </c>
      <c r="C1396" s="138" t="s">
        <v>70</v>
      </c>
      <c r="D1396" s="138" t="s">
        <v>38</v>
      </c>
      <c r="E1396" s="139" t="s">
        <v>1312</v>
      </c>
      <c r="F1396" s="4"/>
      <c r="G1396" s="4"/>
      <c r="K1396" s="100"/>
    </row>
    <row r="1397" spans="2:11" s="38" customFormat="1">
      <c r="B1397" s="71" t="s">
        <v>1387</v>
      </c>
      <c r="C1397" s="55" t="s">
        <v>72</v>
      </c>
      <c r="D1397" s="56"/>
      <c r="E1397" s="124">
        <v>0</v>
      </c>
      <c r="F1397" s="4">
        <v>0</v>
      </c>
      <c r="G1397" s="4">
        <f>E1397*F1397</f>
        <v>0</v>
      </c>
      <c r="K1397" s="93"/>
    </row>
    <row r="1398" spans="2:11" s="38" customFormat="1" ht="114.75" outlineLevel="1">
      <c r="B1398" s="71" t="s">
        <v>1388</v>
      </c>
      <c r="C1398" s="138" t="s">
        <v>324</v>
      </c>
      <c r="D1398" s="51" t="s">
        <v>75</v>
      </c>
      <c r="E1398" s="112">
        <v>18.45</v>
      </c>
      <c r="F1398" s="4"/>
      <c r="G1398" s="4"/>
      <c r="K1398" s="93"/>
    </row>
    <row r="1399" spans="2:11" s="38" customFormat="1" ht="75" customHeight="1" outlineLevel="1">
      <c r="B1399" s="71" t="s">
        <v>1389</v>
      </c>
      <c r="C1399" s="138" t="s">
        <v>77</v>
      </c>
      <c r="D1399" s="51" t="s">
        <v>75</v>
      </c>
      <c r="E1399" s="112">
        <v>11.08</v>
      </c>
      <c r="F1399" s="4"/>
      <c r="G1399" s="4"/>
      <c r="K1399" s="93"/>
    </row>
    <row r="1400" spans="2:11" s="38" customFormat="1" ht="75" customHeight="1" outlineLevel="1">
      <c r="B1400" s="71" t="s">
        <v>1390</v>
      </c>
      <c r="C1400" s="138" t="s">
        <v>327</v>
      </c>
      <c r="D1400" s="51" t="s">
        <v>75</v>
      </c>
      <c r="E1400" s="112">
        <v>22.32</v>
      </c>
      <c r="F1400" s="57"/>
      <c r="G1400" s="4"/>
      <c r="K1400" s="93"/>
    </row>
    <row r="1401" spans="2:11" s="38" customFormat="1" ht="102" outlineLevel="1">
      <c r="B1401" s="71" t="s">
        <v>1391</v>
      </c>
      <c r="C1401" s="138" t="s">
        <v>329</v>
      </c>
      <c r="D1401" s="51" t="s">
        <v>75</v>
      </c>
      <c r="E1401" s="112">
        <v>2.79</v>
      </c>
      <c r="F1401" s="4"/>
      <c r="G1401" s="4"/>
      <c r="K1401" s="93"/>
    </row>
    <row r="1402" spans="2:11" s="38" customFormat="1" ht="63.75" outlineLevel="1">
      <c r="B1402" s="71" t="s">
        <v>1392</v>
      </c>
      <c r="C1402" s="138" t="s">
        <v>331</v>
      </c>
      <c r="D1402" s="51" t="s">
        <v>84</v>
      </c>
      <c r="E1402" s="112">
        <v>1.8</v>
      </c>
      <c r="F1402" s="4"/>
      <c r="G1402" s="4"/>
      <c r="K1402" s="93"/>
    </row>
    <row r="1403" spans="2:11" s="38" customFormat="1" ht="45.75" customHeight="1" outlineLevel="1">
      <c r="B1403" s="71" t="s">
        <v>1393</v>
      </c>
      <c r="C1403" s="138" t="s">
        <v>221</v>
      </c>
      <c r="D1403" s="51" t="s">
        <v>84</v>
      </c>
      <c r="E1403" s="112">
        <v>9.24</v>
      </c>
      <c r="F1403" s="4"/>
      <c r="G1403" s="4"/>
      <c r="K1403" s="93"/>
    </row>
    <row r="1404" spans="2:11" s="38" customFormat="1" ht="38.25" outlineLevel="1">
      <c r="B1404" s="71" t="s">
        <v>1394</v>
      </c>
      <c r="C1404" s="138" t="s">
        <v>223</v>
      </c>
      <c r="D1404" s="51" t="s">
        <v>84</v>
      </c>
      <c r="E1404" s="112">
        <v>5.52</v>
      </c>
      <c r="F1404" s="4"/>
      <c r="G1404" s="4"/>
      <c r="K1404" s="93"/>
    </row>
    <row r="1405" spans="2:11" s="38" customFormat="1" ht="114.75" outlineLevel="1">
      <c r="B1405" s="71" t="s">
        <v>1395</v>
      </c>
      <c r="C1405" s="139" t="s">
        <v>335</v>
      </c>
      <c r="D1405" s="51" t="s">
        <v>91</v>
      </c>
      <c r="E1405" s="112">
        <v>1</v>
      </c>
      <c r="F1405" s="4"/>
      <c r="G1405" s="4"/>
      <c r="K1405" s="93"/>
    </row>
    <row r="1406" spans="2:11" s="38" customFormat="1">
      <c r="B1406" s="71" t="s">
        <v>1396</v>
      </c>
      <c r="C1406" s="55" t="s">
        <v>93</v>
      </c>
      <c r="D1406" s="56"/>
      <c r="E1406" s="124">
        <v>0</v>
      </c>
      <c r="F1406" s="4">
        <v>0</v>
      </c>
      <c r="G1406" s="4">
        <f>E1406*F1406</f>
        <v>0</v>
      </c>
      <c r="K1406" s="93"/>
    </row>
    <row r="1407" spans="2:11" s="38" customFormat="1" ht="78.75" customHeight="1" outlineLevel="1">
      <c r="B1407" s="71" t="s">
        <v>1397</v>
      </c>
      <c r="C1407" s="138" t="s">
        <v>97</v>
      </c>
      <c r="D1407" s="51" t="s">
        <v>75</v>
      </c>
      <c r="E1407" s="112">
        <v>10.75</v>
      </c>
      <c r="F1407" s="4"/>
      <c r="G1407" s="4"/>
      <c r="K1407" s="93"/>
    </row>
    <row r="1408" spans="2:11" s="38" customFormat="1" ht="109.5" customHeight="1" outlineLevel="1">
      <c r="B1408" s="71" t="s">
        <v>1398</v>
      </c>
      <c r="C1408" s="138" t="s">
        <v>99</v>
      </c>
      <c r="D1408" s="51" t="s">
        <v>75</v>
      </c>
      <c r="E1408" s="112">
        <v>45.63</v>
      </c>
      <c r="F1408" s="4"/>
      <c r="G1408" s="4"/>
      <c r="K1408" s="93"/>
    </row>
    <row r="1409" spans="2:11" s="38" customFormat="1" ht="127.5" outlineLevel="1">
      <c r="B1409" s="71" t="s">
        <v>1399</v>
      </c>
      <c r="C1409" s="138" t="s">
        <v>340</v>
      </c>
      <c r="D1409" s="51" t="s">
        <v>75</v>
      </c>
      <c r="E1409" s="112">
        <v>0.49</v>
      </c>
      <c r="F1409" s="4"/>
      <c r="G1409" s="4"/>
      <c r="K1409" s="93"/>
    </row>
    <row r="1410" spans="2:11" s="38" customFormat="1" ht="89.25" outlineLevel="1">
      <c r="B1410" s="71" t="s">
        <v>1400</v>
      </c>
      <c r="C1410" s="138" t="s">
        <v>103</v>
      </c>
      <c r="D1410" s="115"/>
      <c r="E1410" s="112">
        <v>2.4700000000000002</v>
      </c>
      <c r="G1410" s="4"/>
      <c r="K1410" s="93"/>
    </row>
    <row r="1411" spans="2:11" s="38" customFormat="1" ht="148.5" customHeight="1" outlineLevel="1">
      <c r="B1411" s="71" t="s">
        <v>1401</v>
      </c>
      <c r="C1411" s="139" t="s">
        <v>343</v>
      </c>
      <c r="D1411" s="51" t="s">
        <v>75</v>
      </c>
      <c r="E1411" s="112">
        <v>4.8600000000000003</v>
      </c>
      <c r="F1411" s="4"/>
      <c r="G1411" s="4"/>
      <c r="K1411" s="93"/>
    </row>
    <row r="1412" spans="2:11" s="38" customFormat="1" ht="156" customHeight="1" outlineLevel="1">
      <c r="B1412" s="71" t="s">
        <v>1402</v>
      </c>
      <c r="C1412" s="138" t="s">
        <v>234</v>
      </c>
      <c r="D1412" s="51" t="s">
        <v>75</v>
      </c>
      <c r="E1412" s="112">
        <v>8.11</v>
      </c>
      <c r="F1412" s="4"/>
      <c r="G1412" s="4"/>
      <c r="K1412" s="93"/>
    </row>
    <row r="1413" spans="2:11" s="38" customFormat="1" ht="178.5" outlineLevel="1">
      <c r="B1413" s="71" t="s">
        <v>1403</v>
      </c>
      <c r="C1413" s="139" t="s">
        <v>2617</v>
      </c>
      <c r="D1413" s="51" t="s">
        <v>75</v>
      </c>
      <c r="E1413" s="112">
        <v>3.19</v>
      </c>
      <c r="F1413" s="4"/>
      <c r="G1413" s="4"/>
      <c r="K1413" s="93"/>
    </row>
    <row r="1414" spans="2:11" s="38" customFormat="1" ht="111" customHeight="1" outlineLevel="1">
      <c r="B1414" s="71" t="s">
        <v>1404</v>
      </c>
      <c r="C1414" s="138" t="s">
        <v>435</v>
      </c>
      <c r="D1414" s="51" t="s">
        <v>75</v>
      </c>
      <c r="E1414" s="112">
        <v>22.86</v>
      </c>
      <c r="F1414" s="4"/>
      <c r="G1414" s="4"/>
      <c r="K1414" s="93"/>
    </row>
    <row r="1415" spans="2:11" s="38" customFormat="1" ht="87.75" customHeight="1" outlineLevel="1">
      <c r="B1415" s="71" t="s">
        <v>1405</v>
      </c>
      <c r="C1415" s="138" t="s">
        <v>437</v>
      </c>
      <c r="D1415" s="51" t="s">
        <v>75</v>
      </c>
      <c r="E1415" s="112">
        <v>12.09</v>
      </c>
      <c r="F1415" s="4"/>
      <c r="G1415" s="4"/>
      <c r="K1415" s="93"/>
    </row>
    <row r="1416" spans="2:11" s="38" customFormat="1" ht="101.25" customHeight="1" outlineLevel="1">
      <c r="B1416" s="71" t="s">
        <v>1406</v>
      </c>
      <c r="C1416" s="138" t="s">
        <v>353</v>
      </c>
      <c r="D1416" s="51" t="s">
        <v>75</v>
      </c>
      <c r="E1416" s="112">
        <v>2.4700000000000002</v>
      </c>
      <c r="F1416" s="4"/>
      <c r="G1416" s="4"/>
      <c r="K1416" s="93"/>
    </row>
    <row r="1417" spans="2:11" s="38" customFormat="1" ht="101.25" customHeight="1" outlineLevel="1">
      <c r="B1417" s="71" t="s">
        <v>1407</v>
      </c>
      <c r="C1417" s="138" t="s">
        <v>440</v>
      </c>
      <c r="D1417" s="51" t="s">
        <v>84</v>
      </c>
      <c r="E1417" s="112">
        <v>2.38</v>
      </c>
      <c r="F1417" s="4"/>
      <c r="G1417" s="4"/>
      <c r="K1417" s="93"/>
    </row>
    <row r="1418" spans="2:11" s="38" customFormat="1" ht="105" customHeight="1" outlineLevel="1">
      <c r="B1418" s="71" t="s">
        <v>1408</v>
      </c>
      <c r="C1418" s="138" t="s">
        <v>442</v>
      </c>
      <c r="D1418" s="51" t="s">
        <v>84</v>
      </c>
      <c r="E1418" s="112">
        <v>2.75</v>
      </c>
      <c r="F1418" s="4"/>
      <c r="G1418" s="4"/>
      <c r="K1418" s="93"/>
    </row>
    <row r="1419" spans="2:11" s="38" customFormat="1" ht="91.5" customHeight="1" outlineLevel="1">
      <c r="B1419" s="71" t="s">
        <v>1409</v>
      </c>
      <c r="C1419" s="138" t="s">
        <v>248</v>
      </c>
      <c r="D1419" s="51" t="s">
        <v>84</v>
      </c>
      <c r="E1419" s="112">
        <v>5.5</v>
      </c>
      <c r="F1419" s="4"/>
      <c r="G1419" s="4"/>
      <c r="K1419" s="93"/>
    </row>
    <row r="1420" spans="2:11" s="38" customFormat="1" outlineLevel="1">
      <c r="B1420" s="71"/>
      <c r="C1420" s="50"/>
      <c r="D1420" s="51"/>
      <c r="E1420" s="112"/>
      <c r="F1420" s="4"/>
      <c r="G1420" s="4"/>
      <c r="K1420" s="93"/>
    </row>
    <row r="1421" spans="2:11" s="38" customFormat="1">
      <c r="B1421" s="71" t="s">
        <v>1410</v>
      </c>
      <c r="C1421" s="55" t="s">
        <v>123</v>
      </c>
      <c r="D1421" s="56"/>
      <c r="E1421" s="124">
        <v>0</v>
      </c>
      <c r="F1421" s="4"/>
      <c r="G1421" s="4"/>
      <c r="K1421" s="93"/>
    </row>
    <row r="1422" spans="2:11" s="38" customFormat="1" ht="150.75" customHeight="1" outlineLevel="1">
      <c r="B1422" s="71" t="s">
        <v>1411</v>
      </c>
      <c r="C1422" s="138" t="s">
        <v>361</v>
      </c>
      <c r="D1422" s="51" t="s">
        <v>75</v>
      </c>
      <c r="E1422" s="112">
        <v>2.2799999999999998</v>
      </c>
      <c r="F1422" s="4"/>
      <c r="G1422" s="4"/>
      <c r="K1422" s="93"/>
    </row>
    <row r="1423" spans="2:11" s="38" customFormat="1" ht="193.5" customHeight="1" outlineLevel="1">
      <c r="B1423" s="71" t="s">
        <v>1412</v>
      </c>
      <c r="C1423" s="138" t="s">
        <v>363</v>
      </c>
      <c r="D1423" s="51" t="s">
        <v>75</v>
      </c>
      <c r="E1423" s="112">
        <v>3.74</v>
      </c>
      <c r="F1423" s="4"/>
      <c r="G1423" s="4"/>
      <c r="K1423" s="93"/>
    </row>
    <row r="1424" spans="2:11" s="38" customFormat="1" ht="135.75" customHeight="1" outlineLevel="1">
      <c r="B1424" s="71" t="s">
        <v>1413</v>
      </c>
      <c r="C1424" s="138" t="s">
        <v>365</v>
      </c>
      <c r="D1424" s="51" t="s">
        <v>84</v>
      </c>
      <c r="E1424" s="112">
        <v>4.21</v>
      </c>
      <c r="F1424" s="4"/>
      <c r="G1424" s="4"/>
      <c r="K1424" s="93"/>
    </row>
    <row r="1425" spans="2:11" s="38" customFormat="1" ht="89.25" customHeight="1" outlineLevel="1">
      <c r="B1425" s="71" t="s">
        <v>1414</v>
      </c>
      <c r="C1425" s="138" t="s">
        <v>254</v>
      </c>
      <c r="D1425" s="51" t="s">
        <v>75</v>
      </c>
      <c r="E1425" s="112">
        <v>8.6</v>
      </c>
      <c r="F1425" s="4"/>
      <c r="G1425" s="4"/>
      <c r="K1425" s="93"/>
    </row>
    <row r="1426" spans="2:11" s="38" customFormat="1" ht="102" customHeight="1" outlineLevel="1">
      <c r="B1426" s="71" t="s">
        <v>1415</v>
      </c>
      <c r="C1426" s="138" t="s">
        <v>452</v>
      </c>
      <c r="D1426" s="51" t="s">
        <v>75</v>
      </c>
      <c r="E1426" s="112">
        <v>2.2999999999999998</v>
      </c>
      <c r="F1426" s="4"/>
      <c r="G1426" s="4"/>
      <c r="K1426" s="93"/>
    </row>
    <row r="1427" spans="2:11" s="38" customFormat="1" ht="89.25" outlineLevel="1">
      <c r="B1427" s="71" t="s">
        <v>1416</v>
      </c>
      <c r="C1427" s="138" t="s">
        <v>370</v>
      </c>
      <c r="D1427" s="51" t="s">
        <v>75</v>
      </c>
      <c r="E1427" s="112">
        <v>3.74</v>
      </c>
      <c r="F1427" s="4"/>
      <c r="G1427" s="4"/>
      <c r="K1427" s="93"/>
    </row>
    <row r="1428" spans="2:11" s="38" customFormat="1" ht="76.5" outlineLevel="1">
      <c r="B1428" s="71" t="s">
        <v>1417</v>
      </c>
      <c r="C1428" s="138" t="s">
        <v>260</v>
      </c>
      <c r="D1428" s="51" t="s">
        <v>75</v>
      </c>
      <c r="E1428" s="112">
        <v>7.57</v>
      </c>
      <c r="F1428" s="4"/>
      <c r="G1428" s="4"/>
      <c r="K1428" s="93"/>
    </row>
    <row r="1429" spans="2:11" s="38" customFormat="1" ht="66" customHeight="1" outlineLevel="1">
      <c r="B1429" s="71" t="s">
        <v>1418</v>
      </c>
      <c r="C1429" s="138" t="s">
        <v>139</v>
      </c>
      <c r="D1429" s="51" t="s">
        <v>140</v>
      </c>
      <c r="E1429" s="112">
        <v>1</v>
      </c>
      <c r="F1429" s="4"/>
      <c r="G1429" s="4"/>
      <c r="K1429" s="93"/>
    </row>
    <row r="1430" spans="2:11" s="38" customFormat="1" ht="94.5" customHeight="1" outlineLevel="1">
      <c r="B1430" s="71" t="s">
        <v>1419</v>
      </c>
      <c r="C1430" s="138" t="s">
        <v>263</v>
      </c>
      <c r="D1430" s="51" t="s">
        <v>84</v>
      </c>
      <c r="E1430" s="112">
        <v>3.41</v>
      </c>
      <c r="F1430" s="4"/>
      <c r="G1430" s="4"/>
      <c r="K1430" s="93"/>
    </row>
    <row r="1431" spans="2:11" s="38" customFormat="1" ht="88.5" customHeight="1" outlineLevel="1">
      <c r="B1431" s="71" t="s">
        <v>1420</v>
      </c>
      <c r="C1431" s="138" t="s">
        <v>265</v>
      </c>
      <c r="D1431" s="51" t="s">
        <v>84</v>
      </c>
      <c r="E1431" s="112">
        <v>10.66</v>
      </c>
      <c r="F1431" s="4"/>
      <c r="G1431" s="4"/>
      <c r="K1431" s="93"/>
    </row>
    <row r="1432" spans="2:11" s="38" customFormat="1">
      <c r="B1432" s="71" t="s">
        <v>1421</v>
      </c>
      <c r="C1432" s="55" t="s">
        <v>146</v>
      </c>
      <c r="D1432" s="56"/>
      <c r="E1432" s="124">
        <v>0</v>
      </c>
      <c r="F1432" s="4"/>
      <c r="G1432" s="4"/>
      <c r="K1432" s="93"/>
    </row>
    <row r="1433" spans="2:11" s="38" customFormat="1" ht="177.75" customHeight="1" outlineLevel="1">
      <c r="B1433" s="127" t="s">
        <v>1422</v>
      </c>
      <c r="C1433" s="139" t="s">
        <v>2637</v>
      </c>
      <c r="D1433" s="51" t="s">
        <v>140</v>
      </c>
      <c r="E1433" s="112">
        <v>1</v>
      </c>
      <c r="F1433" s="4"/>
      <c r="G1433" s="4"/>
      <c r="K1433" s="93"/>
    </row>
    <row r="1434" spans="2:11" s="38" customFormat="1" ht="191.25" customHeight="1" outlineLevel="1">
      <c r="B1434" s="127" t="s">
        <v>1423</v>
      </c>
      <c r="C1434" s="139" t="s">
        <v>269</v>
      </c>
      <c r="D1434" s="51" t="s">
        <v>140</v>
      </c>
      <c r="E1434" s="112">
        <v>1</v>
      </c>
      <c r="F1434" s="4"/>
      <c r="G1434" s="4"/>
      <c r="K1434" s="93"/>
    </row>
    <row r="1435" spans="2:11" s="38" customFormat="1">
      <c r="B1435" s="71" t="s">
        <v>1424</v>
      </c>
      <c r="C1435" s="55" t="s">
        <v>151</v>
      </c>
      <c r="D1435" s="56"/>
      <c r="E1435" s="124">
        <v>0</v>
      </c>
      <c r="F1435" s="4"/>
      <c r="G1435" s="4"/>
      <c r="K1435" s="93"/>
    </row>
    <row r="1436" spans="2:11" s="38" customFormat="1" ht="38.25" outlineLevel="1">
      <c r="B1436" s="71" t="s">
        <v>1425</v>
      </c>
      <c r="C1436" s="138" t="s">
        <v>153</v>
      </c>
      <c r="D1436" s="51" t="s">
        <v>140</v>
      </c>
      <c r="E1436" s="112">
        <v>1</v>
      </c>
      <c r="F1436" s="13"/>
      <c r="G1436" s="13"/>
      <c r="K1436" s="93"/>
    </row>
    <row r="1437" spans="2:11" s="38" customFormat="1" ht="51" outlineLevel="1">
      <c r="B1437" s="71" t="s">
        <v>1426</v>
      </c>
      <c r="C1437" s="138" t="s">
        <v>155</v>
      </c>
      <c r="D1437" s="51" t="s">
        <v>140</v>
      </c>
      <c r="E1437" s="112">
        <v>1</v>
      </c>
      <c r="F1437" s="13"/>
      <c r="G1437" s="13"/>
      <c r="K1437" s="93"/>
    </row>
    <row r="1438" spans="2:11" s="38" customFormat="1">
      <c r="B1438" s="71" t="s">
        <v>1427</v>
      </c>
      <c r="C1438" s="55" t="s">
        <v>157</v>
      </c>
      <c r="D1438" s="56"/>
      <c r="E1438" s="124">
        <v>0</v>
      </c>
      <c r="F1438" s="4">
        <v>0</v>
      </c>
      <c r="G1438" s="13">
        <f>E1438*F1438</f>
        <v>0</v>
      </c>
      <c r="K1438" s="93"/>
    </row>
    <row r="1439" spans="2:11" s="38" customFormat="1" ht="51" outlineLevel="1">
      <c r="B1439" s="98"/>
      <c r="C1439" s="138" t="s">
        <v>158</v>
      </c>
      <c r="D1439" s="51"/>
      <c r="E1439" s="112"/>
      <c r="F1439" s="4"/>
      <c r="G1439" s="4"/>
      <c r="K1439" s="93"/>
    </row>
    <row r="1440" spans="2:11" s="38" customFormat="1" ht="51" outlineLevel="1">
      <c r="B1440" s="71" t="s">
        <v>1428</v>
      </c>
      <c r="C1440" s="138" t="s">
        <v>160</v>
      </c>
      <c r="D1440" s="51" t="s">
        <v>140</v>
      </c>
      <c r="E1440" s="112">
        <v>1</v>
      </c>
      <c r="F1440" s="4"/>
      <c r="G1440" s="102"/>
      <c r="K1440" s="100"/>
    </row>
    <row r="1441" spans="2:11" s="38" customFormat="1" ht="38.25" outlineLevel="1">
      <c r="B1441" s="71" t="s">
        <v>1429</v>
      </c>
      <c r="C1441" s="138" t="s">
        <v>162</v>
      </c>
      <c r="D1441" s="51" t="s">
        <v>140</v>
      </c>
      <c r="E1441" s="112">
        <v>1</v>
      </c>
      <c r="F1441" s="4"/>
      <c r="G1441" s="102"/>
      <c r="K1441" s="100"/>
    </row>
    <row r="1442" spans="2:11" s="38" customFormat="1" ht="51" outlineLevel="1">
      <c r="B1442" s="71" t="s">
        <v>1430</v>
      </c>
      <c r="C1442" s="138" t="s">
        <v>164</v>
      </c>
      <c r="D1442" s="51" t="s">
        <v>140</v>
      </c>
      <c r="E1442" s="112">
        <v>1</v>
      </c>
      <c r="F1442" s="4"/>
      <c r="G1442" s="102"/>
      <c r="K1442" s="100"/>
    </row>
    <row r="1443" spans="2:11" s="38" customFormat="1" ht="140.25" outlineLevel="1">
      <c r="B1443" s="71" t="s">
        <v>1431</v>
      </c>
      <c r="C1443" s="138" t="s">
        <v>1432</v>
      </c>
      <c r="D1443" s="51" t="s">
        <v>140</v>
      </c>
      <c r="E1443" s="112">
        <v>1</v>
      </c>
      <c r="F1443" s="4"/>
      <c r="G1443" s="103"/>
      <c r="K1443" s="100"/>
    </row>
    <row r="1444" spans="2:11" s="38" customFormat="1" ht="89.25" outlineLevel="1">
      <c r="B1444" s="71" t="s">
        <v>1433</v>
      </c>
      <c r="C1444" s="138" t="s">
        <v>1434</v>
      </c>
      <c r="D1444" s="51" t="s">
        <v>140</v>
      </c>
      <c r="E1444" s="112">
        <v>1</v>
      </c>
      <c r="F1444" s="4"/>
      <c r="G1444" s="103"/>
      <c r="K1444" s="100"/>
    </row>
    <row r="1445" spans="2:11" s="38" customFormat="1" ht="51" outlineLevel="1">
      <c r="B1445" s="71" t="s">
        <v>1435</v>
      </c>
      <c r="C1445" s="138" t="s">
        <v>170</v>
      </c>
      <c r="D1445" s="51" t="s">
        <v>140</v>
      </c>
      <c r="E1445" s="112">
        <v>1</v>
      </c>
      <c r="F1445" s="4"/>
      <c r="G1445" s="102"/>
      <c r="K1445" s="100"/>
    </row>
    <row r="1446" spans="2:11" s="38" customFormat="1" ht="38.25" outlineLevel="1">
      <c r="B1446" s="71" t="s">
        <v>1436</v>
      </c>
      <c r="C1446" s="138" t="s">
        <v>172</v>
      </c>
      <c r="D1446" s="51" t="s">
        <v>140</v>
      </c>
      <c r="E1446" s="112">
        <v>1</v>
      </c>
      <c r="F1446" s="4"/>
      <c r="G1446" s="102"/>
      <c r="K1446" s="100"/>
    </row>
    <row r="1447" spans="2:11" s="38" customFormat="1" ht="51" outlineLevel="1">
      <c r="B1447" s="71" t="s">
        <v>1437</v>
      </c>
      <c r="C1447" s="138" t="s">
        <v>174</v>
      </c>
      <c r="D1447" s="51" t="s">
        <v>140</v>
      </c>
      <c r="E1447" s="112">
        <v>1</v>
      </c>
      <c r="F1447" s="4"/>
      <c r="G1447" s="102"/>
      <c r="K1447" s="100"/>
    </row>
    <row r="1448" spans="2:11" s="38" customFormat="1" ht="51" outlineLevel="1">
      <c r="B1448" s="71" t="s">
        <v>1438</v>
      </c>
      <c r="C1448" s="138" t="s">
        <v>2638</v>
      </c>
      <c r="D1448" s="51" t="s">
        <v>140</v>
      </c>
      <c r="E1448" s="112">
        <v>1</v>
      </c>
      <c r="F1448" s="4"/>
      <c r="G1448" s="102"/>
      <c r="K1448" s="100"/>
    </row>
    <row r="1449" spans="2:11" s="38" customFormat="1" ht="51" outlineLevel="1">
      <c r="B1449" s="71" t="s">
        <v>1439</v>
      </c>
      <c r="C1449" s="138" t="s">
        <v>177</v>
      </c>
      <c r="D1449" s="51" t="s">
        <v>140</v>
      </c>
      <c r="E1449" s="112">
        <v>1</v>
      </c>
      <c r="F1449" s="4"/>
      <c r="G1449" s="102"/>
      <c r="K1449" s="100"/>
    </row>
    <row r="1450" spans="2:11" s="38" customFormat="1" ht="63.75" outlineLevel="1">
      <c r="B1450" s="71" t="s">
        <v>1440</v>
      </c>
      <c r="C1450" s="138" t="s">
        <v>179</v>
      </c>
      <c r="D1450" s="51" t="s">
        <v>140</v>
      </c>
      <c r="E1450" s="112">
        <v>1</v>
      </c>
      <c r="F1450" s="4"/>
      <c r="G1450" s="102"/>
      <c r="K1450" s="100"/>
    </row>
    <row r="1451" spans="2:11" s="38" customFormat="1" ht="51" outlineLevel="1">
      <c r="B1451" s="71" t="s">
        <v>1441</v>
      </c>
      <c r="C1451" s="138" t="s">
        <v>181</v>
      </c>
      <c r="D1451" s="51" t="s">
        <v>140</v>
      </c>
      <c r="E1451" s="112">
        <v>1</v>
      </c>
      <c r="F1451" s="4"/>
      <c r="G1451" s="102"/>
      <c r="K1451" s="100"/>
    </row>
    <row r="1452" spans="2:11" s="38" customFormat="1" ht="25.5" outlineLevel="1">
      <c r="B1452" s="71" t="s">
        <v>1442</v>
      </c>
      <c r="C1452" s="138" t="s">
        <v>183</v>
      </c>
      <c r="D1452" s="51" t="s">
        <v>140</v>
      </c>
      <c r="E1452" s="112">
        <v>1</v>
      </c>
      <c r="F1452" s="4"/>
      <c r="G1452" s="102"/>
      <c r="K1452" s="100"/>
    </row>
    <row r="1453" spans="2:11" s="38" customFormat="1" ht="38.25" outlineLevel="1">
      <c r="B1453" s="71" t="s">
        <v>1443</v>
      </c>
      <c r="C1453" s="138" t="s">
        <v>185</v>
      </c>
      <c r="D1453" s="51" t="s">
        <v>140</v>
      </c>
      <c r="E1453" s="112">
        <v>2</v>
      </c>
      <c r="F1453" s="4">
        <v>0</v>
      </c>
      <c r="G1453" s="102"/>
      <c r="K1453" s="100"/>
    </row>
    <row r="1454" spans="2:11" s="38" customFormat="1" ht="38.25" outlineLevel="1">
      <c r="B1454" s="71" t="s">
        <v>1444</v>
      </c>
      <c r="C1454" s="138" t="s">
        <v>187</v>
      </c>
      <c r="D1454" s="51" t="s">
        <v>140</v>
      </c>
      <c r="E1454" s="112">
        <v>1</v>
      </c>
      <c r="F1454" s="4">
        <v>0</v>
      </c>
      <c r="G1454" s="102"/>
      <c r="K1454" s="100"/>
    </row>
    <row r="1455" spans="2:11" s="38" customFormat="1" ht="38.25" outlineLevel="1">
      <c r="B1455" s="71" t="s">
        <v>1445</v>
      </c>
      <c r="C1455" s="138" t="s">
        <v>189</v>
      </c>
      <c r="D1455" s="51" t="s">
        <v>140</v>
      </c>
      <c r="E1455" s="112">
        <v>2</v>
      </c>
      <c r="F1455" s="4">
        <v>0</v>
      </c>
      <c r="G1455" s="102"/>
      <c r="K1455" s="100"/>
    </row>
    <row r="1456" spans="2:11" s="38" customFormat="1" ht="25.5" outlineLevel="1">
      <c r="B1456" s="71" t="s">
        <v>1446</v>
      </c>
      <c r="C1456" s="138" t="s">
        <v>191</v>
      </c>
      <c r="D1456" s="51" t="s">
        <v>140</v>
      </c>
      <c r="E1456" s="112">
        <v>1</v>
      </c>
      <c r="F1456" s="4">
        <v>0</v>
      </c>
      <c r="G1456" s="102"/>
      <c r="K1456" s="100"/>
    </row>
    <row r="1457" spans="2:11" s="38" customFormat="1" ht="51" outlineLevel="1">
      <c r="B1457" s="71" t="s">
        <v>1447</v>
      </c>
      <c r="C1457" s="138" t="s">
        <v>193</v>
      </c>
      <c r="D1457" s="51" t="s">
        <v>140</v>
      </c>
      <c r="E1457" s="112">
        <v>1</v>
      </c>
      <c r="F1457" s="4"/>
      <c r="G1457" s="102"/>
      <c r="K1457" s="100"/>
    </row>
    <row r="1458" spans="2:11" s="38" customFormat="1" ht="153" outlineLevel="1">
      <c r="B1458" s="71" t="s">
        <v>1448</v>
      </c>
      <c r="C1458" s="138" t="s">
        <v>195</v>
      </c>
      <c r="D1458" s="51" t="s">
        <v>140</v>
      </c>
      <c r="E1458" s="112">
        <v>1</v>
      </c>
      <c r="F1458" s="4">
        <v>0</v>
      </c>
      <c r="G1458" s="102"/>
      <c r="K1458" s="100"/>
    </row>
    <row r="1459" spans="2:11" s="38" customFormat="1" ht="76.5" outlineLevel="1">
      <c r="B1459" s="71" t="s">
        <v>1449</v>
      </c>
      <c r="C1459" s="138" t="s">
        <v>197</v>
      </c>
      <c r="D1459" s="51" t="s">
        <v>140</v>
      </c>
      <c r="E1459" s="112">
        <v>1</v>
      </c>
      <c r="F1459" s="4"/>
      <c r="G1459" s="102"/>
      <c r="K1459" s="100"/>
    </row>
    <row r="1460" spans="2:11" s="38" customFormat="1" ht="107.25" customHeight="1" outlineLevel="1">
      <c r="B1460" s="71" t="s">
        <v>1450</v>
      </c>
      <c r="C1460" s="132" t="s">
        <v>2634</v>
      </c>
      <c r="D1460" s="51" t="s">
        <v>140</v>
      </c>
      <c r="E1460" s="112">
        <v>1</v>
      </c>
      <c r="F1460" s="4"/>
      <c r="G1460" s="4">
        <f>E1460*F1460</f>
        <v>0</v>
      </c>
      <c r="K1460" s="93"/>
    </row>
    <row r="1461" spans="2:11" s="38" customFormat="1" ht="105" customHeight="1" outlineLevel="1">
      <c r="B1461" s="71" t="s">
        <v>1451</v>
      </c>
      <c r="C1461" s="138" t="s">
        <v>1452</v>
      </c>
      <c r="D1461" s="51" t="s">
        <v>140</v>
      </c>
      <c r="E1461" s="112">
        <v>1</v>
      </c>
      <c r="F1461" s="4"/>
      <c r="G1461" s="4">
        <f>E1461*F1461</f>
        <v>0</v>
      </c>
      <c r="K1461" s="93"/>
    </row>
    <row r="1462" spans="2:11" s="38" customFormat="1">
      <c r="B1462" s="71" t="s">
        <v>1453</v>
      </c>
      <c r="C1462" s="55" t="s">
        <v>202</v>
      </c>
      <c r="D1462" s="56"/>
      <c r="E1462" s="124">
        <v>0</v>
      </c>
      <c r="F1462" s="4"/>
      <c r="G1462" s="4"/>
      <c r="K1462" s="100"/>
    </row>
    <row r="1463" spans="2:11" s="38" customFormat="1" ht="63.75" outlineLevel="1">
      <c r="B1463" s="71" t="s">
        <v>1454</v>
      </c>
      <c r="C1463" s="138" t="s">
        <v>204</v>
      </c>
      <c r="D1463" s="51" t="s">
        <v>84</v>
      </c>
      <c r="E1463" s="112">
        <v>2.88</v>
      </c>
      <c r="F1463" s="4"/>
      <c r="G1463" s="59"/>
      <c r="K1463" s="100"/>
    </row>
    <row r="1464" spans="2:11" s="38" customFormat="1">
      <c r="B1464" s="71"/>
      <c r="C1464" s="55"/>
      <c r="D1464" s="56"/>
      <c r="E1464" s="124"/>
      <c r="F1464" s="4"/>
      <c r="G1464" s="4"/>
      <c r="K1464" s="100"/>
    </row>
    <row r="1465" spans="2:11" s="38" customFormat="1">
      <c r="B1465" s="72" t="s">
        <v>1455</v>
      </c>
      <c r="C1465" s="52"/>
      <c r="D1465" s="15"/>
      <c r="E1465" s="122"/>
      <c r="F1465" s="54"/>
      <c r="G1465" s="58">
        <f>SUM(G1390:G1463)</f>
        <v>0</v>
      </c>
      <c r="K1465" s="93"/>
    </row>
    <row r="1466" spans="2:11" s="38" customFormat="1" outlineLevel="1">
      <c r="B1466" s="71"/>
      <c r="C1466" s="50"/>
      <c r="D1466" s="51"/>
      <c r="E1466" s="112"/>
      <c r="F1466" s="4"/>
      <c r="G1466" s="59"/>
      <c r="K1466" s="100"/>
    </row>
    <row r="1467" spans="2:11" s="38" customFormat="1">
      <c r="B1467" s="114" t="s">
        <v>1456</v>
      </c>
      <c r="C1467" s="52"/>
      <c r="D1467" s="15"/>
      <c r="E1467" s="122"/>
      <c r="F1467" s="54"/>
      <c r="G1467" s="58"/>
      <c r="K1467" s="93"/>
    </row>
    <row r="1468" spans="2:11" s="38" customFormat="1" ht="38.25">
      <c r="B1468" s="116"/>
      <c r="C1468" s="55" t="s">
        <v>207</v>
      </c>
      <c r="D1468" s="11" t="s">
        <v>140</v>
      </c>
      <c r="E1468" s="121">
        <v>16</v>
      </c>
      <c r="F1468" s="13"/>
      <c r="G1468" s="113">
        <f>G1465*E1468</f>
        <v>0</v>
      </c>
      <c r="K1468" s="93"/>
    </row>
    <row r="1469" spans="2:11" s="38" customFormat="1" outlineLevel="1">
      <c r="B1469" s="71"/>
      <c r="C1469" s="50"/>
      <c r="D1469" s="51"/>
      <c r="E1469" s="112"/>
      <c r="F1469" s="4"/>
      <c r="G1469" s="59"/>
      <c r="K1469" s="100"/>
    </row>
    <row r="1470" spans="2:11" s="38" customFormat="1">
      <c r="B1470" s="72">
        <v>3.18</v>
      </c>
      <c r="C1470" s="70" t="s">
        <v>1457</v>
      </c>
      <c r="D1470" s="49"/>
      <c r="E1470" s="123">
        <v>0</v>
      </c>
      <c r="F1470" s="54">
        <v>0</v>
      </c>
      <c r="G1470" s="58"/>
      <c r="K1470" s="93"/>
    </row>
    <row r="1471" spans="2:11" s="38" customFormat="1">
      <c r="B1471" s="116"/>
      <c r="C1471" s="116"/>
      <c r="D1471" s="56"/>
      <c r="E1471" s="124"/>
      <c r="F1471" s="13"/>
      <c r="G1471" s="113"/>
      <c r="K1471" s="93"/>
    </row>
    <row r="1472" spans="2:11" s="38" customFormat="1" ht="42" customHeight="1">
      <c r="B1472" s="116"/>
      <c r="C1472" s="138" t="s">
        <v>60</v>
      </c>
      <c r="D1472" s="56"/>
      <c r="E1472" s="124"/>
      <c r="F1472" s="13"/>
      <c r="G1472" s="59">
        <f t="shared" ref="G1472:G1535" si="34">E1472*F1472</f>
        <v>0</v>
      </c>
      <c r="K1472" s="93"/>
    </row>
    <row r="1473" spans="2:11" s="38" customFormat="1">
      <c r="B1473" s="116"/>
      <c r="C1473" s="116"/>
      <c r="D1473" s="56"/>
      <c r="E1473" s="124"/>
      <c r="F1473" s="13"/>
      <c r="G1473" s="59">
        <f t="shared" si="34"/>
        <v>0</v>
      </c>
      <c r="K1473" s="93"/>
    </row>
    <row r="1474" spans="2:11" s="38" customFormat="1">
      <c r="B1474" s="71" t="s">
        <v>1458</v>
      </c>
      <c r="C1474" s="55" t="s">
        <v>62</v>
      </c>
      <c r="D1474" s="56"/>
      <c r="E1474" s="124">
        <v>0</v>
      </c>
      <c r="F1474" s="13">
        <v>0</v>
      </c>
      <c r="G1474" s="59">
        <f t="shared" si="34"/>
        <v>0</v>
      </c>
      <c r="K1474" s="93"/>
    </row>
    <row r="1475" spans="2:11" s="38" customFormat="1" ht="200.25" customHeight="1" outlineLevel="1">
      <c r="B1475" s="71" t="s">
        <v>1459</v>
      </c>
      <c r="C1475" s="138" t="s">
        <v>64</v>
      </c>
      <c r="D1475" s="51" t="s">
        <v>38</v>
      </c>
      <c r="E1475" s="112">
        <v>1</v>
      </c>
      <c r="F1475" s="4"/>
      <c r="G1475" s="59">
        <f t="shared" si="34"/>
        <v>0</v>
      </c>
      <c r="K1475" s="93"/>
    </row>
    <row r="1476" spans="2:11" s="38" customFormat="1" outlineLevel="1">
      <c r="B1476" s="71"/>
      <c r="C1476" s="50"/>
      <c r="D1476" s="51"/>
      <c r="E1476" s="112"/>
      <c r="F1476" s="4"/>
      <c r="G1476" s="59">
        <f t="shared" si="34"/>
        <v>0</v>
      </c>
      <c r="K1476" s="93"/>
    </row>
    <row r="1477" spans="2:11" s="38" customFormat="1">
      <c r="B1477" s="71" t="s">
        <v>1460</v>
      </c>
      <c r="C1477" s="55" t="s">
        <v>66</v>
      </c>
      <c r="D1477" s="56"/>
      <c r="E1477" s="124">
        <v>0</v>
      </c>
      <c r="F1477" s="13"/>
      <c r="G1477" s="59">
        <f t="shared" si="34"/>
        <v>0</v>
      </c>
      <c r="K1477" s="93"/>
    </row>
    <row r="1478" spans="2:11" s="38" customFormat="1" ht="54.75" customHeight="1" outlineLevel="1">
      <c r="B1478" s="71" t="s">
        <v>1461</v>
      </c>
      <c r="C1478" s="138" t="s">
        <v>68</v>
      </c>
      <c r="D1478" s="138" t="s">
        <v>38</v>
      </c>
      <c r="E1478" s="139" t="s">
        <v>1312</v>
      </c>
      <c r="F1478" s="4"/>
      <c r="G1478" s="59">
        <f t="shared" si="34"/>
        <v>0</v>
      </c>
      <c r="K1478" s="100"/>
    </row>
    <row r="1479" spans="2:11" s="38" customFormat="1" ht="74.25" customHeight="1" outlineLevel="1">
      <c r="B1479" s="71" t="s">
        <v>1462</v>
      </c>
      <c r="C1479" s="138" t="s">
        <v>70</v>
      </c>
      <c r="D1479" s="138" t="s">
        <v>38</v>
      </c>
      <c r="E1479" s="139" t="s">
        <v>1312</v>
      </c>
      <c r="F1479" s="4"/>
      <c r="G1479" s="59">
        <f t="shared" si="34"/>
        <v>0</v>
      </c>
      <c r="K1479" s="100"/>
    </row>
    <row r="1480" spans="2:11" s="38" customFormat="1">
      <c r="B1480" s="71" t="s">
        <v>1463</v>
      </c>
      <c r="C1480" s="55" t="s">
        <v>72</v>
      </c>
      <c r="D1480" s="56"/>
      <c r="E1480" s="124">
        <v>0</v>
      </c>
      <c r="F1480" s="4">
        <v>0</v>
      </c>
      <c r="G1480" s="59">
        <f t="shared" si="34"/>
        <v>0</v>
      </c>
      <c r="K1480" s="93"/>
    </row>
    <row r="1481" spans="2:11" s="38" customFormat="1" ht="122.25" customHeight="1" outlineLevel="1">
      <c r="B1481" s="71" t="s">
        <v>1464</v>
      </c>
      <c r="C1481" s="138" t="s">
        <v>324</v>
      </c>
      <c r="D1481" s="51" t="s">
        <v>75</v>
      </c>
      <c r="E1481" s="112">
        <v>17.8</v>
      </c>
      <c r="F1481" s="4"/>
      <c r="G1481" s="59">
        <f t="shared" si="34"/>
        <v>0</v>
      </c>
      <c r="K1481" s="93"/>
    </row>
    <row r="1482" spans="2:11" s="38" customFormat="1" ht="75" customHeight="1" outlineLevel="1">
      <c r="B1482" s="71" t="s">
        <v>1465</v>
      </c>
      <c r="C1482" s="138" t="s">
        <v>77</v>
      </c>
      <c r="D1482" s="51" t="s">
        <v>75</v>
      </c>
      <c r="E1482" s="112">
        <v>11.35</v>
      </c>
      <c r="F1482" s="4"/>
      <c r="G1482" s="59">
        <f t="shared" si="34"/>
        <v>0</v>
      </c>
      <c r="K1482" s="93"/>
    </row>
    <row r="1483" spans="2:11" s="38" customFormat="1" ht="76.5" customHeight="1" outlineLevel="1">
      <c r="B1483" s="71" t="s">
        <v>1466</v>
      </c>
      <c r="C1483" s="138" t="s">
        <v>327</v>
      </c>
      <c r="D1483" s="51" t="s">
        <v>75</v>
      </c>
      <c r="E1483" s="112">
        <v>21.84</v>
      </c>
      <c r="F1483" s="57"/>
      <c r="G1483" s="59">
        <f t="shared" si="34"/>
        <v>0</v>
      </c>
      <c r="K1483" s="93"/>
    </row>
    <row r="1484" spans="2:11" s="38" customFormat="1" ht="108" customHeight="1" outlineLevel="1">
      <c r="B1484" s="71" t="s">
        <v>1467</v>
      </c>
      <c r="C1484" s="138" t="s">
        <v>329</v>
      </c>
      <c r="D1484" s="51" t="s">
        <v>75</v>
      </c>
      <c r="E1484" s="112">
        <v>2.96</v>
      </c>
      <c r="F1484" s="4"/>
      <c r="G1484" s="59">
        <f t="shared" si="34"/>
        <v>0</v>
      </c>
      <c r="K1484" s="93"/>
    </row>
    <row r="1485" spans="2:11" s="38" customFormat="1" ht="83.25" customHeight="1" outlineLevel="1">
      <c r="B1485" s="71" t="s">
        <v>1468</v>
      </c>
      <c r="C1485" s="138" t="s">
        <v>331</v>
      </c>
      <c r="D1485" s="51" t="s">
        <v>84</v>
      </c>
      <c r="E1485" s="112">
        <v>1.8</v>
      </c>
      <c r="F1485" s="4"/>
      <c r="G1485" s="59">
        <f t="shared" si="34"/>
        <v>0</v>
      </c>
      <c r="K1485" s="93"/>
    </row>
    <row r="1486" spans="2:11" s="38" customFormat="1" ht="42.75" customHeight="1" outlineLevel="1">
      <c r="B1486" s="71" t="s">
        <v>1469</v>
      </c>
      <c r="C1486" s="138" t="s">
        <v>221</v>
      </c>
      <c r="D1486" s="51" t="s">
        <v>84</v>
      </c>
      <c r="E1486" s="112">
        <v>10.08</v>
      </c>
      <c r="F1486" s="4"/>
      <c r="G1486" s="59">
        <f t="shared" si="34"/>
        <v>0</v>
      </c>
      <c r="K1486" s="93"/>
    </row>
    <row r="1487" spans="2:11" s="38" customFormat="1" ht="38.25" outlineLevel="1">
      <c r="B1487" s="71" t="s">
        <v>1470</v>
      </c>
      <c r="C1487" s="138" t="s">
        <v>223</v>
      </c>
      <c r="D1487" s="51" t="s">
        <v>84</v>
      </c>
      <c r="E1487" s="112">
        <v>5.86</v>
      </c>
      <c r="F1487" s="4"/>
      <c r="G1487" s="59">
        <f t="shared" si="34"/>
        <v>0</v>
      </c>
      <c r="K1487" s="93"/>
    </row>
    <row r="1488" spans="2:11" s="38" customFormat="1" ht="114.75" outlineLevel="1">
      <c r="B1488" s="71" t="s">
        <v>1471</v>
      </c>
      <c r="C1488" s="139" t="s">
        <v>335</v>
      </c>
      <c r="D1488" s="51" t="s">
        <v>91</v>
      </c>
      <c r="E1488" s="112">
        <v>1</v>
      </c>
      <c r="F1488" s="4"/>
      <c r="G1488" s="59">
        <f t="shared" si="34"/>
        <v>0</v>
      </c>
      <c r="K1488" s="93"/>
    </row>
    <row r="1489" spans="2:11" s="38" customFormat="1" outlineLevel="1">
      <c r="B1489" s="71"/>
      <c r="C1489" s="50"/>
      <c r="D1489" s="51"/>
      <c r="E1489" s="112"/>
      <c r="F1489" s="4"/>
      <c r="G1489" s="59">
        <f t="shared" si="34"/>
        <v>0</v>
      </c>
      <c r="K1489" s="93"/>
    </row>
    <row r="1490" spans="2:11" s="38" customFormat="1">
      <c r="B1490" s="71" t="s">
        <v>1472</v>
      </c>
      <c r="C1490" s="55" t="s">
        <v>93</v>
      </c>
      <c r="D1490" s="56"/>
      <c r="E1490" s="124">
        <v>0</v>
      </c>
      <c r="F1490" s="4">
        <v>0</v>
      </c>
      <c r="G1490" s="59">
        <f t="shared" si="34"/>
        <v>0</v>
      </c>
      <c r="K1490" s="93"/>
    </row>
    <row r="1491" spans="2:11" s="38" customFormat="1" ht="72" customHeight="1" outlineLevel="1">
      <c r="B1491" s="71" t="s">
        <v>1473</v>
      </c>
      <c r="C1491" s="138" t="s">
        <v>97</v>
      </c>
      <c r="D1491" s="51" t="s">
        <v>75</v>
      </c>
      <c r="E1491" s="112">
        <v>10.42</v>
      </c>
      <c r="F1491" s="4"/>
      <c r="G1491" s="59">
        <f t="shared" si="34"/>
        <v>0</v>
      </c>
      <c r="K1491" s="93"/>
    </row>
    <row r="1492" spans="2:11" s="38" customFormat="1" ht="108" customHeight="1" outlineLevel="1">
      <c r="B1492" s="71" t="s">
        <v>1474</v>
      </c>
      <c r="C1492" s="138" t="s">
        <v>99</v>
      </c>
      <c r="D1492" s="51" t="s">
        <v>75</v>
      </c>
      <c r="E1492" s="112">
        <v>46.39</v>
      </c>
      <c r="F1492" s="4"/>
      <c r="G1492" s="59">
        <f t="shared" si="34"/>
        <v>0</v>
      </c>
      <c r="K1492" s="93"/>
    </row>
    <row r="1493" spans="2:11" s="38" customFormat="1" ht="126.75" customHeight="1" outlineLevel="1">
      <c r="B1493" s="71" t="s">
        <v>1475</v>
      </c>
      <c r="C1493" s="138" t="s">
        <v>340</v>
      </c>
      <c r="D1493" s="51" t="s">
        <v>75</v>
      </c>
      <c r="E1493" s="112">
        <v>1.41</v>
      </c>
      <c r="F1493" s="4"/>
      <c r="G1493" s="59">
        <f t="shared" si="34"/>
        <v>0</v>
      </c>
      <c r="K1493" s="93"/>
    </row>
    <row r="1494" spans="2:11" s="38" customFormat="1" ht="89.25" outlineLevel="1">
      <c r="B1494" s="71" t="s">
        <v>1476</v>
      </c>
      <c r="C1494" s="138" t="s">
        <v>103</v>
      </c>
      <c r="D1494" s="115"/>
      <c r="E1494" s="112">
        <v>7.92</v>
      </c>
      <c r="G1494" s="59">
        <f t="shared" si="34"/>
        <v>0</v>
      </c>
      <c r="K1494" s="93"/>
    </row>
    <row r="1495" spans="2:11" s="38" customFormat="1" ht="187.5" customHeight="1" outlineLevel="1">
      <c r="B1495" s="71" t="s">
        <v>1477</v>
      </c>
      <c r="C1495" s="139" t="s">
        <v>343</v>
      </c>
      <c r="D1495" s="51" t="s">
        <v>75</v>
      </c>
      <c r="E1495" s="112">
        <v>5.17</v>
      </c>
      <c r="F1495" s="4"/>
      <c r="G1495" s="59">
        <f t="shared" si="34"/>
        <v>0</v>
      </c>
      <c r="K1495" s="93"/>
    </row>
    <row r="1496" spans="2:11" s="38" customFormat="1" ht="161.25" customHeight="1" outlineLevel="1">
      <c r="B1496" s="71" t="s">
        <v>1478</v>
      </c>
      <c r="C1496" s="138" t="s">
        <v>234</v>
      </c>
      <c r="D1496" s="51" t="s">
        <v>75</v>
      </c>
      <c r="E1496" s="112">
        <v>8.11</v>
      </c>
      <c r="F1496" s="4"/>
      <c r="G1496" s="59">
        <f t="shared" si="34"/>
        <v>0</v>
      </c>
      <c r="K1496" s="93"/>
    </row>
    <row r="1497" spans="2:11" s="38" customFormat="1" ht="178.5" outlineLevel="1">
      <c r="B1497" s="71" t="s">
        <v>1479</v>
      </c>
      <c r="C1497" s="139" t="s">
        <v>2617</v>
      </c>
      <c r="D1497" s="51" t="s">
        <v>75</v>
      </c>
      <c r="E1497" s="112">
        <v>3.26</v>
      </c>
      <c r="F1497" s="4"/>
      <c r="G1497" s="59">
        <f t="shared" si="34"/>
        <v>0</v>
      </c>
      <c r="K1497" s="93"/>
    </row>
    <row r="1498" spans="2:11" s="38" customFormat="1" ht="89.25" customHeight="1" outlineLevel="1">
      <c r="B1498" s="71" t="s">
        <v>1480</v>
      </c>
      <c r="C1498" s="138" t="s">
        <v>435</v>
      </c>
      <c r="D1498" s="51" t="s">
        <v>75</v>
      </c>
      <c r="E1498" s="112">
        <v>25.17</v>
      </c>
      <c r="F1498" s="4"/>
      <c r="G1498" s="59">
        <f t="shared" si="34"/>
        <v>0</v>
      </c>
      <c r="K1498" s="93"/>
    </row>
    <row r="1499" spans="2:11" s="38" customFormat="1" ht="84.75" customHeight="1" outlineLevel="1">
      <c r="B1499" s="71" t="s">
        <v>1481</v>
      </c>
      <c r="C1499" s="138" t="s">
        <v>437</v>
      </c>
      <c r="D1499" s="51" t="s">
        <v>75</v>
      </c>
      <c r="E1499" s="112">
        <v>15.66</v>
      </c>
      <c r="F1499" s="4"/>
      <c r="G1499" s="59">
        <f t="shared" si="34"/>
        <v>0</v>
      </c>
      <c r="K1499" s="93"/>
    </row>
    <row r="1500" spans="2:11" s="38" customFormat="1" ht="105.75" customHeight="1" outlineLevel="1">
      <c r="B1500" s="71" t="s">
        <v>1482</v>
      </c>
      <c r="C1500" s="138" t="s">
        <v>353</v>
      </c>
      <c r="D1500" s="51" t="s">
        <v>75</v>
      </c>
      <c r="E1500" s="112">
        <v>7.92</v>
      </c>
      <c r="F1500" s="4"/>
      <c r="G1500" s="59">
        <f t="shared" si="34"/>
        <v>0</v>
      </c>
      <c r="K1500" s="93"/>
    </row>
    <row r="1501" spans="2:11" s="38" customFormat="1" ht="99" customHeight="1" outlineLevel="1">
      <c r="B1501" s="71" t="s">
        <v>1483</v>
      </c>
      <c r="C1501" s="138" t="s">
        <v>440</v>
      </c>
      <c r="D1501" s="51" t="s">
        <v>84</v>
      </c>
      <c r="E1501" s="112">
        <v>4.76</v>
      </c>
      <c r="F1501" s="4"/>
      <c r="G1501" s="59">
        <f t="shared" si="34"/>
        <v>0</v>
      </c>
      <c r="K1501" s="93"/>
    </row>
    <row r="1502" spans="2:11" s="38" customFormat="1" ht="111.75" customHeight="1" outlineLevel="1">
      <c r="B1502" s="71" t="s">
        <v>1484</v>
      </c>
      <c r="C1502" s="138" t="s">
        <v>442</v>
      </c>
      <c r="D1502" s="51" t="s">
        <v>84</v>
      </c>
      <c r="E1502" s="112">
        <v>2.75</v>
      </c>
      <c r="F1502" s="4"/>
      <c r="G1502" s="59">
        <f t="shared" si="34"/>
        <v>0</v>
      </c>
      <c r="K1502" s="93"/>
    </row>
    <row r="1503" spans="2:11" s="38" customFormat="1" ht="99.75" customHeight="1" outlineLevel="1">
      <c r="B1503" s="71" t="s">
        <v>1485</v>
      </c>
      <c r="C1503" s="138" t="s">
        <v>248</v>
      </c>
      <c r="D1503" s="51" t="s">
        <v>84</v>
      </c>
      <c r="E1503" s="112">
        <v>5.5</v>
      </c>
      <c r="F1503" s="4"/>
      <c r="G1503" s="59">
        <f t="shared" si="34"/>
        <v>0</v>
      </c>
      <c r="K1503" s="93"/>
    </row>
    <row r="1504" spans="2:11" s="38" customFormat="1" outlineLevel="1">
      <c r="B1504" s="71"/>
      <c r="C1504" s="50"/>
      <c r="D1504" s="51"/>
      <c r="E1504" s="112"/>
      <c r="F1504" s="4"/>
      <c r="G1504" s="59">
        <f t="shared" si="34"/>
        <v>0</v>
      </c>
      <c r="K1504" s="93"/>
    </row>
    <row r="1505" spans="2:11" s="38" customFormat="1">
      <c r="B1505" s="71" t="s">
        <v>1486</v>
      </c>
      <c r="C1505" s="55" t="s">
        <v>123</v>
      </c>
      <c r="D1505" s="56"/>
      <c r="E1505" s="124">
        <v>0</v>
      </c>
      <c r="F1505" s="4"/>
      <c r="G1505" s="59">
        <f t="shared" si="34"/>
        <v>0</v>
      </c>
      <c r="K1505" s="93"/>
    </row>
    <row r="1506" spans="2:11" s="38" customFormat="1" ht="157.5" customHeight="1" outlineLevel="1">
      <c r="B1506" s="71" t="s">
        <v>1487</v>
      </c>
      <c r="C1506" s="138" t="s">
        <v>361</v>
      </c>
      <c r="D1506" s="51" t="s">
        <v>75</v>
      </c>
      <c r="E1506" s="112">
        <v>3.96</v>
      </c>
      <c r="F1506" s="4"/>
      <c r="G1506" s="59">
        <f t="shared" si="34"/>
        <v>0</v>
      </c>
      <c r="K1506" s="93"/>
    </row>
    <row r="1507" spans="2:11" s="38" customFormat="1" ht="194.25" customHeight="1" outlineLevel="1">
      <c r="B1507" s="71" t="s">
        <v>1488</v>
      </c>
      <c r="C1507" s="138" t="s">
        <v>363</v>
      </c>
      <c r="D1507" s="51" t="s">
        <v>75</v>
      </c>
      <c r="E1507" s="112">
        <v>3.92</v>
      </c>
      <c r="F1507" s="4"/>
      <c r="G1507" s="59">
        <f t="shared" si="34"/>
        <v>0</v>
      </c>
      <c r="K1507" s="93"/>
    </row>
    <row r="1508" spans="2:11" s="38" customFormat="1" ht="135" customHeight="1" outlineLevel="1">
      <c r="B1508" s="71" t="s">
        <v>1489</v>
      </c>
      <c r="C1508" s="138" t="s">
        <v>365</v>
      </c>
      <c r="D1508" s="51" t="s">
        <v>84</v>
      </c>
      <c r="E1508" s="112">
        <v>4.05</v>
      </c>
      <c r="F1508" s="4"/>
      <c r="G1508" s="59">
        <f t="shared" si="34"/>
        <v>0</v>
      </c>
      <c r="K1508" s="93"/>
    </row>
    <row r="1509" spans="2:11" s="38" customFormat="1" ht="98.25" customHeight="1" outlineLevel="1">
      <c r="B1509" s="71" t="s">
        <v>1490</v>
      </c>
      <c r="C1509" s="138" t="s">
        <v>254</v>
      </c>
      <c r="D1509" s="51" t="s">
        <v>75</v>
      </c>
      <c r="E1509" s="112">
        <v>7.56</v>
      </c>
      <c r="F1509" s="4"/>
      <c r="G1509" s="59">
        <f t="shared" si="34"/>
        <v>0</v>
      </c>
      <c r="K1509" s="93"/>
    </row>
    <row r="1510" spans="2:11" s="38" customFormat="1" ht="99" customHeight="1" outlineLevel="1">
      <c r="B1510" s="71" t="s">
        <v>1491</v>
      </c>
      <c r="C1510" s="138" t="s">
        <v>452</v>
      </c>
      <c r="D1510" s="51" t="s">
        <v>75</v>
      </c>
      <c r="E1510" s="112">
        <v>3.69</v>
      </c>
      <c r="F1510" s="4"/>
      <c r="G1510" s="59">
        <f t="shared" si="34"/>
        <v>0</v>
      </c>
      <c r="K1510" s="93"/>
    </row>
    <row r="1511" spans="2:11" s="38" customFormat="1" ht="103.5" customHeight="1" outlineLevel="1">
      <c r="B1511" s="71" t="s">
        <v>1492</v>
      </c>
      <c r="C1511" s="138" t="s">
        <v>370</v>
      </c>
      <c r="D1511" s="51" t="s">
        <v>75</v>
      </c>
      <c r="E1511" s="112">
        <v>3.92</v>
      </c>
      <c r="F1511" s="4"/>
      <c r="G1511" s="59">
        <f t="shared" si="34"/>
        <v>0</v>
      </c>
      <c r="K1511" s="93"/>
    </row>
    <row r="1512" spans="2:11" s="38" customFormat="1" ht="88.5" customHeight="1" outlineLevel="1">
      <c r="B1512" s="71" t="s">
        <v>1493</v>
      </c>
      <c r="C1512" s="138" t="s">
        <v>260</v>
      </c>
      <c r="D1512" s="51" t="s">
        <v>75</v>
      </c>
      <c r="E1512" s="112">
        <v>6.43</v>
      </c>
      <c r="F1512" s="4"/>
      <c r="G1512" s="59">
        <f t="shared" si="34"/>
        <v>0</v>
      </c>
      <c r="K1512" s="93"/>
    </row>
    <row r="1513" spans="2:11" s="38" customFormat="1" ht="60" customHeight="1" outlineLevel="1">
      <c r="B1513" s="71" t="s">
        <v>1494</v>
      </c>
      <c r="C1513" s="138" t="s">
        <v>139</v>
      </c>
      <c r="D1513" s="51" t="s">
        <v>140</v>
      </c>
      <c r="E1513" s="112">
        <v>1</v>
      </c>
      <c r="F1513" s="4"/>
      <c r="G1513" s="59">
        <f t="shared" si="34"/>
        <v>0</v>
      </c>
      <c r="K1513" s="93"/>
    </row>
    <row r="1514" spans="2:11" s="38" customFormat="1" ht="90.75" customHeight="1" outlineLevel="1">
      <c r="B1514" s="71" t="s">
        <v>1495</v>
      </c>
      <c r="C1514" s="138" t="s">
        <v>263</v>
      </c>
      <c r="D1514" s="51" t="s">
        <v>84</v>
      </c>
      <c r="E1514" s="112">
        <v>3.08</v>
      </c>
      <c r="F1514" s="4"/>
      <c r="G1514" s="59">
        <f t="shared" si="34"/>
        <v>0</v>
      </c>
      <c r="K1514" s="93"/>
    </row>
    <row r="1515" spans="2:11" s="38" customFormat="1" ht="108" customHeight="1" outlineLevel="1">
      <c r="B1515" s="71" t="s">
        <v>1496</v>
      </c>
      <c r="C1515" s="138" t="s">
        <v>265</v>
      </c>
      <c r="D1515" s="51" t="s">
        <v>84</v>
      </c>
      <c r="E1515" s="112">
        <v>9.6300000000000008</v>
      </c>
      <c r="F1515" s="4"/>
      <c r="G1515" s="59">
        <f t="shared" si="34"/>
        <v>0</v>
      </c>
      <c r="K1515" s="93"/>
    </row>
    <row r="1516" spans="2:11" s="38" customFormat="1" outlineLevel="1">
      <c r="B1516" s="71"/>
      <c r="C1516" s="50"/>
      <c r="D1516" s="51"/>
      <c r="E1516" s="112"/>
      <c r="F1516" s="4"/>
      <c r="G1516" s="59">
        <f t="shared" si="34"/>
        <v>0</v>
      </c>
      <c r="K1516" s="93"/>
    </row>
    <row r="1517" spans="2:11" s="38" customFormat="1">
      <c r="B1517" s="71" t="s">
        <v>1497</v>
      </c>
      <c r="C1517" s="55" t="s">
        <v>146</v>
      </c>
      <c r="D1517" s="56"/>
      <c r="E1517" s="124">
        <v>0</v>
      </c>
      <c r="F1517" s="4"/>
      <c r="G1517" s="59">
        <f t="shared" si="34"/>
        <v>0</v>
      </c>
      <c r="K1517" s="93"/>
    </row>
    <row r="1518" spans="2:11" s="38" customFormat="1" ht="177" customHeight="1" outlineLevel="1">
      <c r="B1518" s="71" t="s">
        <v>1498</v>
      </c>
      <c r="C1518" s="139" t="s">
        <v>2637</v>
      </c>
      <c r="D1518" s="51" t="s">
        <v>140</v>
      </c>
      <c r="E1518" s="112">
        <v>1</v>
      </c>
      <c r="F1518" s="4"/>
      <c r="G1518" s="59">
        <f t="shared" si="34"/>
        <v>0</v>
      </c>
      <c r="K1518" s="93"/>
    </row>
    <row r="1519" spans="2:11" s="38" customFormat="1" ht="225" customHeight="1" outlineLevel="1">
      <c r="B1519" s="71" t="s">
        <v>1499</v>
      </c>
      <c r="C1519" s="139" t="s">
        <v>269</v>
      </c>
      <c r="D1519" s="51" t="s">
        <v>140</v>
      </c>
      <c r="E1519" s="112">
        <v>1</v>
      </c>
      <c r="F1519" s="4"/>
      <c r="G1519" s="59">
        <f t="shared" si="34"/>
        <v>0</v>
      </c>
      <c r="K1519" s="93"/>
    </row>
    <row r="1520" spans="2:11" s="38" customFormat="1" outlineLevel="1">
      <c r="B1520" s="71"/>
      <c r="C1520" s="50"/>
      <c r="D1520" s="51"/>
      <c r="E1520" s="112"/>
      <c r="F1520" s="4"/>
      <c r="G1520" s="59">
        <f t="shared" si="34"/>
        <v>0</v>
      </c>
      <c r="K1520" s="93"/>
    </row>
    <row r="1521" spans="2:11" s="38" customFormat="1">
      <c r="B1521" s="71" t="s">
        <v>1500</v>
      </c>
      <c r="C1521" s="55" t="s">
        <v>151</v>
      </c>
      <c r="D1521" s="56"/>
      <c r="E1521" s="124">
        <v>0</v>
      </c>
      <c r="F1521" s="4"/>
      <c r="G1521" s="59">
        <f t="shared" si="34"/>
        <v>0</v>
      </c>
      <c r="K1521" s="93"/>
    </row>
    <row r="1522" spans="2:11" s="38" customFormat="1" ht="38.25" outlineLevel="1">
      <c r="B1522" s="71" t="s">
        <v>1501</v>
      </c>
      <c r="C1522" s="138" t="s">
        <v>153</v>
      </c>
      <c r="D1522" s="138" t="s">
        <v>140</v>
      </c>
      <c r="E1522" s="139" t="s">
        <v>1312</v>
      </c>
      <c r="F1522" s="13"/>
      <c r="G1522" s="59">
        <f t="shared" si="34"/>
        <v>0</v>
      </c>
      <c r="K1522" s="93"/>
    </row>
    <row r="1523" spans="2:11" s="38" customFormat="1" ht="51" outlineLevel="1">
      <c r="B1523" s="71" t="s">
        <v>1502</v>
      </c>
      <c r="C1523" s="138" t="s">
        <v>155</v>
      </c>
      <c r="D1523" s="138" t="s">
        <v>140</v>
      </c>
      <c r="E1523" s="139" t="s">
        <v>1312</v>
      </c>
      <c r="F1523" s="13"/>
      <c r="G1523" s="59">
        <f t="shared" si="34"/>
        <v>0</v>
      </c>
      <c r="K1523" s="93"/>
    </row>
    <row r="1524" spans="2:11" s="38" customFormat="1" outlineLevel="1">
      <c r="B1524" s="71"/>
      <c r="C1524" s="50"/>
      <c r="D1524" s="51"/>
      <c r="E1524" s="112"/>
      <c r="F1524" s="13"/>
      <c r="G1524" s="59">
        <f t="shared" si="34"/>
        <v>0</v>
      </c>
      <c r="K1524" s="93"/>
    </row>
    <row r="1525" spans="2:11" s="38" customFormat="1">
      <c r="B1525" s="71" t="s">
        <v>1503</v>
      </c>
      <c r="C1525" s="55" t="s">
        <v>157</v>
      </c>
      <c r="D1525" s="56"/>
      <c r="E1525" s="124">
        <v>0</v>
      </c>
      <c r="F1525" s="4">
        <v>0</v>
      </c>
      <c r="G1525" s="59">
        <f t="shared" si="34"/>
        <v>0</v>
      </c>
      <c r="K1525" s="93"/>
    </row>
    <row r="1526" spans="2:11" s="38" customFormat="1" ht="49.5" customHeight="1" outlineLevel="1">
      <c r="B1526" s="98"/>
      <c r="C1526" s="138" t="s">
        <v>158</v>
      </c>
      <c r="D1526" s="51"/>
      <c r="E1526" s="112"/>
      <c r="F1526" s="4"/>
      <c r="G1526" s="59">
        <f t="shared" si="34"/>
        <v>0</v>
      </c>
      <c r="K1526" s="93"/>
    </row>
    <row r="1527" spans="2:11" s="38" customFormat="1" ht="53.25" customHeight="1" outlineLevel="1">
      <c r="B1527" s="71" t="s">
        <v>1504</v>
      </c>
      <c r="C1527" s="138" t="s">
        <v>160</v>
      </c>
      <c r="D1527" s="51" t="s">
        <v>140</v>
      </c>
      <c r="E1527" s="112">
        <v>1</v>
      </c>
      <c r="F1527" s="4"/>
      <c r="G1527" s="59">
        <f t="shared" si="34"/>
        <v>0</v>
      </c>
      <c r="K1527" s="100"/>
    </row>
    <row r="1528" spans="2:11" s="38" customFormat="1" ht="47.25" customHeight="1" outlineLevel="1">
      <c r="B1528" s="71" t="s">
        <v>1505</v>
      </c>
      <c r="C1528" s="138" t="s">
        <v>162</v>
      </c>
      <c r="D1528" s="51" t="s">
        <v>140</v>
      </c>
      <c r="E1528" s="112">
        <v>1</v>
      </c>
      <c r="F1528" s="4"/>
      <c r="G1528" s="59">
        <f t="shared" si="34"/>
        <v>0</v>
      </c>
      <c r="K1528" s="100"/>
    </row>
    <row r="1529" spans="2:11" s="38" customFormat="1" ht="51" customHeight="1" outlineLevel="1">
      <c r="B1529" s="71" t="s">
        <v>1506</v>
      </c>
      <c r="C1529" s="138" t="s">
        <v>164</v>
      </c>
      <c r="D1529" s="51" t="s">
        <v>140</v>
      </c>
      <c r="E1529" s="112">
        <v>1</v>
      </c>
      <c r="F1529" s="4"/>
      <c r="G1529" s="59">
        <f t="shared" si="34"/>
        <v>0</v>
      </c>
      <c r="K1529" s="100"/>
    </row>
    <row r="1530" spans="2:11" s="38" customFormat="1" ht="152.25" customHeight="1" outlineLevel="1">
      <c r="B1530" s="71" t="s">
        <v>1507</v>
      </c>
      <c r="C1530" s="138" t="s">
        <v>469</v>
      </c>
      <c r="D1530" s="51" t="s">
        <v>140</v>
      </c>
      <c r="E1530" s="112">
        <v>1</v>
      </c>
      <c r="F1530" s="4"/>
      <c r="G1530" s="59">
        <f t="shared" si="34"/>
        <v>0</v>
      </c>
      <c r="K1530" s="100"/>
    </row>
    <row r="1531" spans="2:11" s="38" customFormat="1" ht="102.75" customHeight="1" outlineLevel="1">
      <c r="B1531" s="71" t="s">
        <v>1508</v>
      </c>
      <c r="C1531" s="138" t="s">
        <v>471</v>
      </c>
      <c r="D1531" s="51" t="s">
        <v>140</v>
      </c>
      <c r="E1531" s="112">
        <v>1</v>
      </c>
      <c r="F1531" s="4"/>
      <c r="G1531" s="59">
        <f t="shared" si="34"/>
        <v>0</v>
      </c>
      <c r="K1531" s="100"/>
    </row>
    <row r="1532" spans="2:11" s="38" customFormat="1" ht="67.5" customHeight="1" outlineLevel="1">
      <c r="B1532" s="71" t="s">
        <v>1509</v>
      </c>
      <c r="C1532" s="138" t="s">
        <v>170</v>
      </c>
      <c r="D1532" s="51" t="s">
        <v>140</v>
      </c>
      <c r="E1532" s="112">
        <v>1</v>
      </c>
      <c r="F1532" s="4"/>
      <c r="G1532" s="59">
        <f t="shared" si="34"/>
        <v>0</v>
      </c>
      <c r="K1532" s="100"/>
    </row>
    <row r="1533" spans="2:11" s="38" customFormat="1" ht="68.25" customHeight="1" outlineLevel="1">
      <c r="B1533" s="71" t="s">
        <v>1510</v>
      </c>
      <c r="C1533" s="138" t="s">
        <v>172</v>
      </c>
      <c r="D1533" s="51" t="s">
        <v>140</v>
      </c>
      <c r="E1533" s="112">
        <v>1</v>
      </c>
      <c r="F1533" s="4"/>
      <c r="G1533" s="59">
        <f t="shared" si="34"/>
        <v>0</v>
      </c>
      <c r="K1533" s="100"/>
    </row>
    <row r="1534" spans="2:11" s="38" customFormat="1" ht="58.5" customHeight="1" outlineLevel="1">
      <c r="B1534" s="71" t="s">
        <v>1511</v>
      </c>
      <c r="C1534" s="138" t="s">
        <v>174</v>
      </c>
      <c r="D1534" s="51" t="s">
        <v>140</v>
      </c>
      <c r="E1534" s="112">
        <v>1</v>
      </c>
      <c r="F1534" s="4"/>
      <c r="G1534" s="59">
        <f t="shared" si="34"/>
        <v>0</v>
      </c>
      <c r="K1534" s="100"/>
    </row>
    <row r="1535" spans="2:11" s="38" customFormat="1" ht="64.5" customHeight="1" outlineLevel="1">
      <c r="B1535" s="71" t="s">
        <v>1512</v>
      </c>
      <c r="C1535" s="138" t="s">
        <v>2638</v>
      </c>
      <c r="D1535" s="51" t="s">
        <v>140</v>
      </c>
      <c r="E1535" s="112">
        <v>1</v>
      </c>
      <c r="F1535" s="4"/>
      <c r="G1535" s="59">
        <f t="shared" si="34"/>
        <v>0</v>
      </c>
      <c r="K1535" s="100"/>
    </row>
    <row r="1536" spans="2:11" s="38" customFormat="1" ht="51.75" customHeight="1" outlineLevel="1">
      <c r="B1536" s="71" t="s">
        <v>1513</v>
      </c>
      <c r="C1536" s="138" t="s">
        <v>177</v>
      </c>
      <c r="D1536" s="51" t="s">
        <v>140</v>
      </c>
      <c r="E1536" s="112">
        <v>1</v>
      </c>
      <c r="F1536" s="4"/>
      <c r="G1536" s="59">
        <f t="shared" ref="G1536:G1550" si="35">E1536*F1536</f>
        <v>0</v>
      </c>
      <c r="K1536" s="100"/>
    </row>
    <row r="1537" spans="2:11" s="38" customFormat="1" ht="73.5" customHeight="1" outlineLevel="1">
      <c r="B1537" s="71" t="s">
        <v>1514</v>
      </c>
      <c r="C1537" s="138" t="s">
        <v>179</v>
      </c>
      <c r="D1537" s="51" t="s">
        <v>140</v>
      </c>
      <c r="E1537" s="112">
        <v>1</v>
      </c>
      <c r="F1537" s="4"/>
      <c r="G1537" s="59">
        <f t="shared" si="35"/>
        <v>0</v>
      </c>
      <c r="K1537" s="100"/>
    </row>
    <row r="1538" spans="2:11" s="38" customFormat="1" ht="64.5" customHeight="1" outlineLevel="1">
      <c r="B1538" s="71" t="s">
        <v>1515</v>
      </c>
      <c r="C1538" s="138" t="s">
        <v>181</v>
      </c>
      <c r="D1538" s="51" t="s">
        <v>140</v>
      </c>
      <c r="E1538" s="112">
        <v>1</v>
      </c>
      <c r="F1538" s="4"/>
      <c r="G1538" s="59">
        <f t="shared" si="35"/>
        <v>0</v>
      </c>
      <c r="K1538" s="100"/>
    </row>
    <row r="1539" spans="2:11" s="38" customFormat="1" ht="25.5" outlineLevel="1">
      <c r="B1539" s="71" t="s">
        <v>1516</v>
      </c>
      <c r="C1539" s="138" t="s">
        <v>183</v>
      </c>
      <c r="D1539" s="51" t="s">
        <v>140</v>
      </c>
      <c r="E1539" s="112">
        <v>1</v>
      </c>
      <c r="F1539" s="4"/>
      <c r="G1539" s="59">
        <f t="shared" si="35"/>
        <v>0</v>
      </c>
      <c r="K1539" s="100"/>
    </row>
    <row r="1540" spans="2:11" s="38" customFormat="1" ht="50.25" customHeight="1" outlineLevel="1">
      <c r="B1540" s="71" t="s">
        <v>1517</v>
      </c>
      <c r="C1540" s="138" t="s">
        <v>185</v>
      </c>
      <c r="D1540" s="51" t="s">
        <v>140</v>
      </c>
      <c r="E1540" s="112">
        <v>2</v>
      </c>
      <c r="F1540" s="4">
        <v>0</v>
      </c>
      <c r="G1540" s="59">
        <f t="shared" si="35"/>
        <v>0</v>
      </c>
      <c r="K1540" s="100"/>
    </row>
    <row r="1541" spans="2:11" s="38" customFormat="1" ht="55.5" customHeight="1" outlineLevel="1">
      <c r="B1541" s="71" t="s">
        <v>1518</v>
      </c>
      <c r="C1541" s="138" t="s">
        <v>187</v>
      </c>
      <c r="D1541" s="51" t="s">
        <v>140</v>
      </c>
      <c r="E1541" s="112">
        <v>1</v>
      </c>
      <c r="F1541" s="4">
        <v>0</v>
      </c>
      <c r="G1541" s="59">
        <f t="shared" si="35"/>
        <v>0</v>
      </c>
      <c r="K1541" s="100"/>
    </row>
    <row r="1542" spans="2:11" s="38" customFormat="1" ht="55.5" customHeight="1" outlineLevel="1">
      <c r="B1542" s="71" t="s">
        <v>1519</v>
      </c>
      <c r="C1542" s="138" t="s">
        <v>189</v>
      </c>
      <c r="D1542" s="51" t="s">
        <v>140</v>
      </c>
      <c r="E1542" s="112">
        <v>2</v>
      </c>
      <c r="F1542" s="4">
        <v>0</v>
      </c>
      <c r="G1542" s="59">
        <f t="shared" si="35"/>
        <v>0</v>
      </c>
      <c r="K1542" s="100"/>
    </row>
    <row r="1543" spans="2:11" s="38" customFormat="1" ht="39" customHeight="1" outlineLevel="1">
      <c r="B1543" s="71" t="s">
        <v>1520</v>
      </c>
      <c r="C1543" s="138" t="s">
        <v>191</v>
      </c>
      <c r="D1543" s="51" t="s">
        <v>140</v>
      </c>
      <c r="E1543" s="112">
        <v>1</v>
      </c>
      <c r="F1543" s="4">
        <v>0</v>
      </c>
      <c r="G1543" s="59">
        <f t="shared" si="35"/>
        <v>0</v>
      </c>
      <c r="K1543" s="100"/>
    </row>
    <row r="1544" spans="2:11" s="38" customFormat="1" ht="51.75" customHeight="1" outlineLevel="1">
      <c r="B1544" s="71" t="s">
        <v>1521</v>
      </c>
      <c r="C1544" s="138" t="s">
        <v>193</v>
      </c>
      <c r="D1544" s="51" t="s">
        <v>140</v>
      </c>
      <c r="E1544" s="112">
        <v>1</v>
      </c>
      <c r="F1544" s="4"/>
      <c r="G1544" s="59">
        <f t="shared" si="35"/>
        <v>0</v>
      </c>
      <c r="K1544" s="100"/>
    </row>
    <row r="1545" spans="2:11" s="38" customFormat="1" ht="228.75" customHeight="1" outlineLevel="1">
      <c r="B1545" s="71" t="s">
        <v>1522</v>
      </c>
      <c r="C1545" s="138" t="s">
        <v>195</v>
      </c>
      <c r="D1545" s="51" t="s">
        <v>140</v>
      </c>
      <c r="E1545" s="112">
        <v>1</v>
      </c>
      <c r="F1545" s="4">
        <v>0</v>
      </c>
      <c r="G1545" s="59">
        <f t="shared" si="35"/>
        <v>0</v>
      </c>
      <c r="K1545" s="100"/>
    </row>
    <row r="1546" spans="2:11" s="38" customFormat="1" ht="74.25" customHeight="1" outlineLevel="1">
      <c r="B1546" s="71" t="s">
        <v>1523</v>
      </c>
      <c r="C1546" s="138" t="s">
        <v>197</v>
      </c>
      <c r="D1546" s="51" t="s">
        <v>140</v>
      </c>
      <c r="E1546" s="112">
        <v>1</v>
      </c>
      <c r="F1546" s="4"/>
      <c r="G1546" s="59">
        <f t="shared" si="35"/>
        <v>0</v>
      </c>
      <c r="K1546" s="100"/>
    </row>
    <row r="1547" spans="2:11" s="38" customFormat="1" ht="97.5" customHeight="1" outlineLevel="1">
      <c r="B1547" s="71" t="s">
        <v>1524</v>
      </c>
      <c r="C1547" s="132" t="s">
        <v>2635</v>
      </c>
      <c r="D1547" s="51" t="s">
        <v>140</v>
      </c>
      <c r="E1547" s="112">
        <v>1</v>
      </c>
      <c r="F1547" s="4"/>
      <c r="G1547" s="59">
        <f t="shared" si="35"/>
        <v>0</v>
      </c>
      <c r="K1547" s="93"/>
    </row>
    <row r="1548" spans="2:11" s="38" customFormat="1" ht="102.75" customHeight="1" outlineLevel="1">
      <c r="B1548" s="71" t="s">
        <v>1525</v>
      </c>
      <c r="C1548" s="138" t="s">
        <v>1452</v>
      </c>
      <c r="D1548" s="51" t="s">
        <v>140</v>
      </c>
      <c r="E1548" s="112">
        <v>1</v>
      </c>
      <c r="F1548" s="4"/>
      <c r="G1548" s="59">
        <f t="shared" si="35"/>
        <v>0</v>
      </c>
      <c r="K1548" s="93"/>
    </row>
    <row r="1549" spans="2:11" s="38" customFormat="1" outlineLevel="1">
      <c r="B1549" s="71"/>
      <c r="C1549" s="50"/>
      <c r="D1549" s="51"/>
      <c r="E1549" s="112"/>
      <c r="F1549" s="4"/>
      <c r="G1549" s="59">
        <f t="shared" si="35"/>
        <v>0</v>
      </c>
      <c r="K1549" s="93"/>
    </row>
    <row r="1550" spans="2:11" s="38" customFormat="1">
      <c r="B1550" s="71" t="s">
        <v>1526</v>
      </c>
      <c r="C1550" s="55" t="s">
        <v>202</v>
      </c>
      <c r="D1550" s="56"/>
      <c r="E1550" s="124">
        <v>0</v>
      </c>
      <c r="F1550" s="4"/>
      <c r="G1550" s="59">
        <f t="shared" si="35"/>
        <v>0</v>
      </c>
      <c r="K1550" s="100"/>
    </row>
    <row r="1551" spans="2:11" s="38" customFormat="1" ht="63.75" outlineLevel="1">
      <c r="B1551" s="71" t="s">
        <v>1527</v>
      </c>
      <c r="C1551" s="138" t="s">
        <v>204</v>
      </c>
      <c r="D1551" s="51" t="s">
        <v>84</v>
      </c>
      <c r="E1551" s="112">
        <v>2.9</v>
      </c>
      <c r="F1551" s="4"/>
      <c r="G1551" s="59">
        <f>E1551*F1551</f>
        <v>0</v>
      </c>
      <c r="K1551" s="100"/>
    </row>
    <row r="1552" spans="2:11" s="38" customFormat="1">
      <c r="B1552" s="71"/>
      <c r="C1552" s="55"/>
      <c r="D1552" s="56"/>
      <c r="E1552" s="124"/>
      <c r="F1552" s="4"/>
      <c r="G1552" s="4"/>
      <c r="K1552" s="100"/>
    </row>
    <row r="1553" spans="2:11" s="38" customFormat="1">
      <c r="B1553" s="72" t="s">
        <v>1528</v>
      </c>
      <c r="C1553" s="52"/>
      <c r="D1553" s="15"/>
      <c r="E1553" s="122"/>
      <c r="F1553" s="54"/>
      <c r="G1553" s="58">
        <f>SUM(G1445:G1552)</f>
        <v>0</v>
      </c>
      <c r="K1553" s="93"/>
    </row>
    <row r="1554" spans="2:11" s="38" customFormat="1" outlineLevel="1">
      <c r="B1554" s="71"/>
      <c r="C1554" s="50"/>
      <c r="D1554" s="51"/>
      <c r="E1554" s="112"/>
      <c r="F1554" s="4"/>
      <c r="G1554" s="59"/>
      <c r="K1554" s="100"/>
    </row>
    <row r="1555" spans="2:11" s="38" customFormat="1">
      <c r="B1555" s="114" t="s">
        <v>1529</v>
      </c>
      <c r="C1555" s="52"/>
      <c r="D1555" s="15"/>
      <c r="E1555" s="122"/>
      <c r="F1555" s="54"/>
      <c r="G1555" s="58"/>
      <c r="K1555" s="93"/>
    </row>
    <row r="1556" spans="2:11" s="38" customFormat="1" ht="38.25">
      <c r="B1556" s="116"/>
      <c r="C1556" s="55" t="s">
        <v>207</v>
      </c>
      <c r="D1556" s="11" t="s">
        <v>140</v>
      </c>
      <c r="E1556" s="112">
        <v>5</v>
      </c>
      <c r="F1556" s="13"/>
      <c r="G1556" s="113">
        <f>E1556*G1553</f>
        <v>0</v>
      </c>
      <c r="K1556" s="93"/>
    </row>
    <row r="1557" spans="2:11" s="38" customFormat="1" outlineLevel="1">
      <c r="B1557" s="71"/>
      <c r="C1557" s="50"/>
      <c r="D1557" s="51"/>
      <c r="E1557" s="112"/>
      <c r="F1557" s="4"/>
      <c r="G1557" s="59"/>
      <c r="K1557" s="100"/>
    </row>
    <row r="1558" spans="2:11" s="38" customFormat="1">
      <c r="B1558" s="72">
        <v>3.19</v>
      </c>
      <c r="C1558" s="70" t="s">
        <v>1530</v>
      </c>
      <c r="D1558" s="49"/>
      <c r="E1558" s="123">
        <v>0</v>
      </c>
      <c r="F1558" s="54">
        <v>0</v>
      </c>
      <c r="G1558" s="58"/>
      <c r="K1558" s="93"/>
    </row>
    <row r="1559" spans="2:11" s="38" customFormat="1">
      <c r="B1559" s="116"/>
      <c r="C1559" s="116"/>
      <c r="D1559" s="56"/>
      <c r="E1559" s="124"/>
      <c r="F1559" s="13"/>
      <c r="G1559" s="113"/>
      <c r="K1559" s="93"/>
    </row>
    <row r="1560" spans="2:11" s="38" customFormat="1" ht="38.25">
      <c r="B1560" s="116"/>
      <c r="C1560" s="50" t="s">
        <v>60</v>
      </c>
      <c r="D1560" s="56"/>
      <c r="E1560" s="124"/>
      <c r="F1560" s="13"/>
      <c r="G1560" s="59">
        <f t="shared" ref="G1560:G1623" si="36">E1560*F1560</f>
        <v>0</v>
      </c>
      <c r="K1560" s="93"/>
    </row>
    <row r="1561" spans="2:11" s="38" customFormat="1">
      <c r="B1561" s="116"/>
      <c r="C1561" s="116"/>
      <c r="D1561" s="56"/>
      <c r="E1561" s="124"/>
      <c r="F1561" s="13"/>
      <c r="G1561" s="59">
        <f t="shared" si="36"/>
        <v>0</v>
      </c>
      <c r="K1561" s="93"/>
    </row>
    <row r="1562" spans="2:11" s="38" customFormat="1">
      <c r="B1562" s="71" t="s">
        <v>1531</v>
      </c>
      <c r="C1562" s="55" t="s">
        <v>62</v>
      </c>
      <c r="D1562" s="56"/>
      <c r="E1562" s="124">
        <v>0</v>
      </c>
      <c r="F1562" s="13">
        <v>0</v>
      </c>
      <c r="G1562" s="59">
        <f t="shared" si="36"/>
        <v>0</v>
      </c>
      <c r="K1562" s="93"/>
    </row>
    <row r="1563" spans="2:11" s="38" customFormat="1" ht="199.5" customHeight="1" outlineLevel="1">
      <c r="B1563" s="71" t="s">
        <v>1532</v>
      </c>
      <c r="C1563" s="132" t="s">
        <v>64</v>
      </c>
      <c r="D1563" s="51" t="s">
        <v>38</v>
      </c>
      <c r="E1563" s="112">
        <v>1</v>
      </c>
      <c r="F1563" s="4"/>
      <c r="G1563" s="59">
        <f t="shared" si="36"/>
        <v>0</v>
      </c>
      <c r="K1563" s="93"/>
    </row>
    <row r="1564" spans="2:11" s="38" customFormat="1" outlineLevel="1">
      <c r="B1564" s="71"/>
      <c r="C1564" s="50"/>
      <c r="D1564" s="51"/>
      <c r="E1564" s="112"/>
      <c r="F1564" s="4"/>
      <c r="G1564" s="59">
        <f t="shared" si="36"/>
        <v>0</v>
      </c>
      <c r="K1564" s="93"/>
    </row>
    <row r="1565" spans="2:11" s="38" customFormat="1">
      <c r="B1565" s="71" t="s">
        <v>1533</v>
      </c>
      <c r="C1565" s="55" t="s">
        <v>66</v>
      </c>
      <c r="D1565" s="56"/>
      <c r="E1565" s="124">
        <v>0</v>
      </c>
      <c r="F1565" s="13"/>
      <c r="G1565" s="59">
        <f t="shared" si="36"/>
        <v>0</v>
      </c>
      <c r="K1565" s="93"/>
    </row>
    <row r="1566" spans="2:11" s="38" customFormat="1" ht="54.75" customHeight="1" outlineLevel="1">
      <c r="B1566" s="71" t="s">
        <v>1534</v>
      </c>
      <c r="C1566" s="132" t="s">
        <v>68</v>
      </c>
      <c r="D1566" s="51" t="s">
        <v>38</v>
      </c>
      <c r="E1566" s="112">
        <v>1</v>
      </c>
      <c r="F1566" s="4"/>
      <c r="G1566" s="59">
        <f t="shared" si="36"/>
        <v>0</v>
      </c>
      <c r="K1566" s="100"/>
    </row>
    <row r="1567" spans="2:11" s="38" customFormat="1" ht="74.25" customHeight="1" outlineLevel="1">
      <c r="B1567" s="71" t="s">
        <v>1535</v>
      </c>
      <c r="C1567" s="132" t="s">
        <v>70</v>
      </c>
      <c r="D1567" s="51" t="s">
        <v>38</v>
      </c>
      <c r="E1567" s="112">
        <v>1</v>
      </c>
      <c r="F1567" s="4"/>
      <c r="G1567" s="59">
        <f t="shared" si="36"/>
        <v>0</v>
      </c>
      <c r="K1567" s="100"/>
    </row>
    <row r="1568" spans="2:11" s="38" customFormat="1">
      <c r="B1568" s="71" t="s">
        <v>1536</v>
      </c>
      <c r="C1568" s="55" t="s">
        <v>72</v>
      </c>
      <c r="D1568" s="56"/>
      <c r="E1568" s="124">
        <v>0</v>
      </c>
      <c r="F1568" s="4">
        <v>0</v>
      </c>
      <c r="G1568" s="59">
        <f t="shared" si="36"/>
        <v>0</v>
      </c>
      <c r="K1568" s="93"/>
    </row>
    <row r="1569" spans="2:11" s="38" customFormat="1" ht="122.25" customHeight="1" outlineLevel="1">
      <c r="B1569" s="71" t="s">
        <v>1537</v>
      </c>
      <c r="C1569" s="132" t="s">
        <v>324</v>
      </c>
      <c r="D1569" s="51" t="s">
        <v>75</v>
      </c>
      <c r="E1569" s="112">
        <v>24.36</v>
      </c>
      <c r="F1569" s="4"/>
      <c r="G1569" s="59">
        <f t="shared" si="36"/>
        <v>0</v>
      </c>
      <c r="K1569" s="93"/>
    </row>
    <row r="1570" spans="2:11" s="38" customFormat="1" ht="75" customHeight="1" outlineLevel="1">
      <c r="B1570" s="71" t="s">
        <v>1538</v>
      </c>
      <c r="C1570" s="132" t="s">
        <v>77</v>
      </c>
      <c r="D1570" s="51" t="s">
        <v>75</v>
      </c>
      <c r="E1570" s="112">
        <v>9.23</v>
      </c>
      <c r="F1570" s="4"/>
      <c r="G1570" s="59">
        <f t="shared" si="36"/>
        <v>0</v>
      </c>
      <c r="K1570" s="93"/>
    </row>
    <row r="1571" spans="2:11" s="38" customFormat="1" ht="76.5" customHeight="1" outlineLevel="1">
      <c r="B1571" s="71" t="s">
        <v>1539</v>
      </c>
      <c r="C1571" s="132" t="s">
        <v>327</v>
      </c>
      <c r="D1571" s="51" t="s">
        <v>75</v>
      </c>
      <c r="E1571" s="112">
        <v>28.27</v>
      </c>
      <c r="F1571" s="57"/>
      <c r="G1571" s="59">
        <f t="shared" si="36"/>
        <v>0</v>
      </c>
      <c r="K1571" s="93"/>
    </row>
    <row r="1572" spans="2:11" s="38" customFormat="1" ht="108" customHeight="1" outlineLevel="1">
      <c r="B1572" s="71" t="s">
        <v>1540</v>
      </c>
      <c r="C1572" s="132" t="s">
        <v>329</v>
      </c>
      <c r="D1572" s="51" t="s">
        <v>75</v>
      </c>
      <c r="E1572" s="112">
        <v>2.41</v>
      </c>
      <c r="F1572" s="4"/>
      <c r="G1572" s="59">
        <f t="shared" si="36"/>
        <v>0</v>
      </c>
      <c r="K1572" s="93"/>
    </row>
    <row r="1573" spans="2:11" s="38" customFormat="1" ht="83.25" customHeight="1" outlineLevel="1">
      <c r="B1573" s="71" t="s">
        <v>1541</v>
      </c>
      <c r="C1573" s="132" t="s">
        <v>331</v>
      </c>
      <c r="D1573" s="51" t="s">
        <v>84</v>
      </c>
      <c r="E1573" s="112">
        <v>1.8</v>
      </c>
      <c r="F1573" s="4"/>
      <c r="G1573" s="59">
        <f t="shared" si="36"/>
        <v>0</v>
      </c>
      <c r="K1573" s="93"/>
    </row>
    <row r="1574" spans="2:11" s="38" customFormat="1" ht="48.75" customHeight="1" outlineLevel="1">
      <c r="B1574" s="71" t="s">
        <v>1542</v>
      </c>
      <c r="C1574" s="132" t="s">
        <v>86</v>
      </c>
      <c r="D1574" s="51" t="s">
        <v>84</v>
      </c>
      <c r="E1574" s="112">
        <v>13.57</v>
      </c>
      <c r="F1574" s="4"/>
      <c r="G1574" s="59">
        <f t="shared" si="36"/>
        <v>0</v>
      </c>
      <c r="K1574" s="93"/>
    </row>
    <row r="1575" spans="2:11" s="38" customFormat="1" ht="38.25" outlineLevel="1">
      <c r="B1575" s="71" t="s">
        <v>1543</v>
      </c>
      <c r="C1575" s="132" t="s">
        <v>88</v>
      </c>
      <c r="D1575" s="51" t="s">
        <v>84</v>
      </c>
      <c r="E1575" s="112">
        <v>6.13</v>
      </c>
      <c r="F1575" s="4"/>
      <c r="G1575" s="59">
        <f t="shared" si="36"/>
        <v>0</v>
      </c>
      <c r="K1575" s="93"/>
    </row>
    <row r="1576" spans="2:11" s="38" customFormat="1" ht="114.75" outlineLevel="1">
      <c r="B1576" s="71" t="s">
        <v>1544</v>
      </c>
      <c r="C1576" s="130" t="s">
        <v>335</v>
      </c>
      <c r="D1576" s="51" t="s">
        <v>91</v>
      </c>
      <c r="E1576" s="112">
        <v>1</v>
      </c>
      <c r="F1576" s="4"/>
      <c r="G1576" s="59">
        <f t="shared" si="36"/>
        <v>0</v>
      </c>
      <c r="K1576" s="93"/>
    </row>
    <row r="1577" spans="2:11" s="38" customFormat="1" outlineLevel="1">
      <c r="B1577" s="71"/>
      <c r="C1577" s="50"/>
      <c r="D1577" s="51"/>
      <c r="E1577" s="112"/>
      <c r="F1577" s="4"/>
      <c r="G1577" s="59">
        <f t="shared" si="36"/>
        <v>0</v>
      </c>
      <c r="K1577" s="93"/>
    </row>
    <row r="1578" spans="2:11" s="38" customFormat="1">
      <c r="B1578" s="71" t="s">
        <v>1545</v>
      </c>
      <c r="C1578" s="55" t="s">
        <v>93</v>
      </c>
      <c r="D1578" s="56"/>
      <c r="E1578" s="124">
        <v>0</v>
      </c>
      <c r="F1578" s="4">
        <v>0</v>
      </c>
      <c r="G1578" s="59">
        <f t="shared" si="36"/>
        <v>0</v>
      </c>
      <c r="K1578" s="93"/>
    </row>
    <row r="1579" spans="2:11" s="38" customFormat="1" ht="61.5" customHeight="1" outlineLevel="1">
      <c r="B1579" s="71" t="s">
        <v>1546</v>
      </c>
      <c r="C1579" s="132" t="s">
        <v>95</v>
      </c>
      <c r="D1579" s="51" t="s">
        <v>75</v>
      </c>
      <c r="E1579" s="112">
        <v>1.4</v>
      </c>
      <c r="F1579" s="4"/>
      <c r="G1579" s="59">
        <f t="shared" si="36"/>
        <v>0</v>
      </c>
      <c r="K1579" s="93"/>
    </row>
    <row r="1580" spans="2:11" s="38" customFormat="1" ht="72" customHeight="1" outlineLevel="1">
      <c r="B1580" s="71" t="s">
        <v>1547</v>
      </c>
      <c r="C1580" s="132" t="s">
        <v>97</v>
      </c>
      <c r="D1580" s="51" t="s">
        <v>75</v>
      </c>
      <c r="E1580" s="112">
        <v>6.9</v>
      </c>
      <c r="F1580" s="4"/>
      <c r="G1580" s="59">
        <f t="shared" si="36"/>
        <v>0</v>
      </c>
      <c r="K1580" s="93"/>
    </row>
    <row r="1581" spans="2:11" s="38" customFormat="1" ht="108" customHeight="1" outlineLevel="1">
      <c r="B1581" s="71" t="s">
        <v>1548</v>
      </c>
      <c r="C1581" s="132" t="s">
        <v>99</v>
      </c>
      <c r="D1581" s="51" t="s">
        <v>75</v>
      </c>
      <c r="E1581" s="112">
        <v>53.04</v>
      </c>
      <c r="F1581" s="4"/>
      <c r="G1581" s="59">
        <f t="shared" si="36"/>
        <v>0</v>
      </c>
      <c r="K1581" s="93"/>
    </row>
    <row r="1582" spans="2:11" s="38" customFormat="1" ht="126.75" customHeight="1" outlineLevel="1">
      <c r="B1582" s="71" t="s">
        <v>1549</v>
      </c>
      <c r="C1582" s="132" t="s">
        <v>340</v>
      </c>
      <c r="D1582" s="51" t="s">
        <v>75</v>
      </c>
      <c r="E1582" s="112">
        <v>1.27</v>
      </c>
      <c r="F1582" s="4"/>
      <c r="G1582" s="59">
        <f t="shared" si="36"/>
        <v>0</v>
      </c>
      <c r="K1582" s="93"/>
    </row>
    <row r="1583" spans="2:11" s="38" customFormat="1" ht="84.75" customHeight="1" outlineLevel="1">
      <c r="B1583" s="71" t="s">
        <v>1550</v>
      </c>
      <c r="C1583" s="132" t="s">
        <v>103</v>
      </c>
      <c r="D1583" s="115"/>
      <c r="E1583" s="112">
        <v>2.89</v>
      </c>
      <c r="G1583" s="59">
        <f t="shared" si="36"/>
        <v>0</v>
      </c>
      <c r="K1583" s="93"/>
    </row>
    <row r="1584" spans="2:11" s="38" customFormat="1" ht="187.5" customHeight="1" outlineLevel="1">
      <c r="B1584" s="71" t="s">
        <v>1551</v>
      </c>
      <c r="C1584" s="130" t="s">
        <v>343</v>
      </c>
      <c r="D1584" s="51" t="s">
        <v>75</v>
      </c>
      <c r="E1584" s="112">
        <v>4.74</v>
      </c>
      <c r="F1584" s="4"/>
      <c r="G1584" s="59">
        <f t="shared" si="36"/>
        <v>0</v>
      </c>
      <c r="K1584" s="93"/>
    </row>
    <row r="1585" spans="2:11" s="38" customFormat="1" ht="178.5" outlineLevel="1">
      <c r="B1585" s="71" t="s">
        <v>1552</v>
      </c>
      <c r="C1585" s="132" t="s">
        <v>2614</v>
      </c>
      <c r="D1585" s="51" t="s">
        <v>75</v>
      </c>
      <c r="E1585" s="112">
        <v>11.08</v>
      </c>
      <c r="F1585" s="4"/>
      <c r="G1585" s="59">
        <f t="shared" si="36"/>
        <v>0</v>
      </c>
      <c r="K1585" s="93"/>
    </row>
    <row r="1586" spans="2:11" s="38" customFormat="1" ht="178.5" outlineLevel="1">
      <c r="B1586" s="71" t="s">
        <v>1553</v>
      </c>
      <c r="C1586" s="130" t="s">
        <v>2617</v>
      </c>
      <c r="D1586" s="51" t="s">
        <v>75</v>
      </c>
      <c r="E1586" s="112">
        <v>2.62</v>
      </c>
      <c r="F1586" s="4"/>
      <c r="G1586" s="59">
        <f t="shared" si="36"/>
        <v>0</v>
      </c>
      <c r="K1586" s="93"/>
    </row>
    <row r="1587" spans="2:11" s="38" customFormat="1" ht="106.5" customHeight="1" outlineLevel="1">
      <c r="B1587" s="71" t="s">
        <v>1554</v>
      </c>
      <c r="C1587" s="132" t="s">
        <v>347</v>
      </c>
      <c r="D1587" s="51" t="s">
        <v>75</v>
      </c>
      <c r="E1587" s="112">
        <v>2.95</v>
      </c>
      <c r="F1587" s="4"/>
      <c r="G1587" s="59">
        <f t="shared" si="36"/>
        <v>0</v>
      </c>
      <c r="K1587" s="93"/>
    </row>
    <row r="1588" spans="2:11" s="38" customFormat="1" ht="89.25" customHeight="1" outlineLevel="1">
      <c r="B1588" s="71" t="s">
        <v>1555</v>
      </c>
      <c r="C1588" s="132" t="s">
        <v>349</v>
      </c>
      <c r="D1588" s="51" t="s">
        <v>75</v>
      </c>
      <c r="E1588" s="112">
        <v>35.07</v>
      </c>
      <c r="F1588" s="4"/>
      <c r="G1588" s="59">
        <f t="shared" si="36"/>
        <v>0</v>
      </c>
      <c r="K1588" s="93"/>
    </row>
    <row r="1589" spans="2:11" s="38" customFormat="1" ht="89.25" customHeight="1" outlineLevel="1">
      <c r="B1589" s="71" t="s">
        <v>1556</v>
      </c>
      <c r="C1589" s="132" t="s">
        <v>351</v>
      </c>
      <c r="D1589" s="51" t="s">
        <v>75</v>
      </c>
      <c r="E1589" s="112">
        <v>13.24</v>
      </c>
      <c r="F1589" s="4"/>
      <c r="G1589" s="59">
        <f t="shared" si="36"/>
        <v>0</v>
      </c>
      <c r="K1589" s="93"/>
    </row>
    <row r="1590" spans="2:11" s="38" customFormat="1" ht="105.75" customHeight="1" outlineLevel="1">
      <c r="B1590" s="71" t="s">
        <v>1557</v>
      </c>
      <c r="C1590" s="132" t="s">
        <v>353</v>
      </c>
      <c r="D1590" s="51" t="s">
        <v>75</v>
      </c>
      <c r="E1590" s="112">
        <v>2.89</v>
      </c>
      <c r="F1590" s="4"/>
      <c r="G1590" s="59">
        <f t="shared" si="36"/>
        <v>0</v>
      </c>
      <c r="K1590" s="93"/>
    </row>
    <row r="1591" spans="2:11" s="38" customFormat="1" ht="99" customHeight="1" outlineLevel="1">
      <c r="B1591" s="71" t="s">
        <v>1558</v>
      </c>
      <c r="C1591" s="132" t="s">
        <v>355</v>
      </c>
      <c r="D1591" s="51" t="s">
        <v>84</v>
      </c>
      <c r="E1591" s="112">
        <v>4.76</v>
      </c>
      <c r="F1591" s="4"/>
      <c r="G1591" s="59">
        <f t="shared" si="36"/>
        <v>0</v>
      </c>
      <c r="K1591" s="93"/>
    </row>
    <row r="1592" spans="2:11" s="38" customFormat="1" ht="111.75" customHeight="1" outlineLevel="1">
      <c r="B1592" s="71" t="s">
        <v>1559</v>
      </c>
      <c r="C1592" s="132" t="s">
        <v>357</v>
      </c>
      <c r="D1592" s="51" t="s">
        <v>84</v>
      </c>
      <c r="E1592" s="112">
        <v>5.5</v>
      </c>
      <c r="F1592" s="4"/>
      <c r="G1592" s="59">
        <f t="shared" si="36"/>
        <v>0</v>
      </c>
      <c r="K1592" s="93"/>
    </row>
    <row r="1593" spans="2:11" s="38" customFormat="1" ht="99.75" customHeight="1" outlineLevel="1">
      <c r="B1593" s="71" t="s">
        <v>1560</v>
      </c>
      <c r="C1593" s="132" t="s">
        <v>121</v>
      </c>
      <c r="D1593" s="51" t="s">
        <v>84</v>
      </c>
      <c r="E1593" s="112">
        <v>5.5</v>
      </c>
      <c r="F1593" s="4"/>
      <c r="G1593" s="59">
        <f t="shared" si="36"/>
        <v>0</v>
      </c>
      <c r="K1593" s="93"/>
    </row>
    <row r="1594" spans="2:11" s="38" customFormat="1" outlineLevel="1">
      <c r="B1594" s="71"/>
      <c r="C1594" s="50"/>
      <c r="D1594" s="51"/>
      <c r="E1594" s="112"/>
      <c r="F1594" s="4"/>
      <c r="G1594" s="59">
        <f t="shared" si="36"/>
        <v>0</v>
      </c>
      <c r="K1594" s="93"/>
    </row>
    <row r="1595" spans="2:11" s="38" customFormat="1">
      <c r="B1595" s="71" t="s">
        <v>1561</v>
      </c>
      <c r="C1595" s="55" t="s">
        <v>123</v>
      </c>
      <c r="D1595" s="56"/>
      <c r="E1595" s="124">
        <v>0</v>
      </c>
      <c r="F1595" s="4"/>
      <c r="G1595" s="59">
        <f t="shared" si="36"/>
        <v>0</v>
      </c>
      <c r="K1595" s="93"/>
    </row>
    <row r="1596" spans="2:11" s="38" customFormat="1" ht="157.5" customHeight="1" outlineLevel="1">
      <c r="B1596" s="71" t="s">
        <v>1562</v>
      </c>
      <c r="C1596" s="132" t="s">
        <v>361</v>
      </c>
      <c r="D1596" s="51" t="s">
        <v>75</v>
      </c>
      <c r="E1596" s="112">
        <v>4.6500000000000004</v>
      </c>
      <c r="F1596" s="4"/>
      <c r="G1596" s="59">
        <f t="shared" si="36"/>
        <v>0</v>
      </c>
      <c r="K1596" s="93"/>
    </row>
    <row r="1597" spans="2:11" s="38" customFormat="1" ht="194.25" customHeight="1" outlineLevel="1">
      <c r="B1597" s="71" t="s">
        <v>1563</v>
      </c>
      <c r="C1597" s="132" t="s">
        <v>363</v>
      </c>
      <c r="D1597" s="51" t="s">
        <v>75</v>
      </c>
      <c r="E1597" s="112">
        <v>3.91</v>
      </c>
      <c r="F1597" s="4"/>
      <c r="G1597" s="59">
        <f t="shared" si="36"/>
        <v>0</v>
      </c>
      <c r="K1597" s="93"/>
    </row>
    <row r="1598" spans="2:11" s="38" customFormat="1" ht="135" customHeight="1" outlineLevel="1">
      <c r="B1598" s="71" t="s">
        <v>1564</v>
      </c>
      <c r="C1598" s="132" t="s">
        <v>365</v>
      </c>
      <c r="D1598" s="51" t="s">
        <v>84</v>
      </c>
      <c r="E1598" s="112">
        <v>4.26</v>
      </c>
      <c r="F1598" s="4"/>
      <c r="G1598" s="59">
        <f t="shared" si="36"/>
        <v>0</v>
      </c>
      <c r="K1598" s="93"/>
    </row>
    <row r="1599" spans="2:11" s="38" customFormat="1" ht="105.75" customHeight="1" outlineLevel="1">
      <c r="B1599" s="71" t="s">
        <v>1565</v>
      </c>
      <c r="C1599" s="132" t="s">
        <v>131</v>
      </c>
      <c r="D1599" s="51" t="s">
        <v>75</v>
      </c>
      <c r="E1599" s="112">
        <v>8.5299999999999994</v>
      </c>
      <c r="F1599" s="4"/>
      <c r="G1599" s="59">
        <f t="shared" si="36"/>
        <v>0</v>
      </c>
      <c r="K1599" s="93"/>
    </row>
    <row r="1600" spans="2:11" s="38" customFormat="1" ht="99" customHeight="1" outlineLevel="1">
      <c r="B1600" s="71" t="s">
        <v>1566</v>
      </c>
      <c r="C1600" s="132" t="s">
        <v>368</v>
      </c>
      <c r="D1600" s="51" t="s">
        <v>75</v>
      </c>
      <c r="E1600" s="112">
        <v>3.8</v>
      </c>
      <c r="F1600" s="4"/>
      <c r="G1600" s="59">
        <f t="shared" si="36"/>
        <v>0</v>
      </c>
      <c r="K1600" s="93"/>
    </row>
    <row r="1601" spans="2:11" s="38" customFormat="1" ht="103.5" customHeight="1" outlineLevel="1">
      <c r="B1601" s="71" t="s">
        <v>1567</v>
      </c>
      <c r="C1601" s="132" t="s">
        <v>370</v>
      </c>
      <c r="D1601" s="51" t="s">
        <v>75</v>
      </c>
      <c r="E1601" s="112">
        <v>3.91</v>
      </c>
      <c r="F1601" s="4"/>
      <c r="G1601" s="59">
        <f t="shared" si="36"/>
        <v>0</v>
      </c>
      <c r="K1601" s="93"/>
    </row>
    <row r="1602" spans="2:11" s="38" customFormat="1" ht="88.5" customHeight="1" outlineLevel="1">
      <c r="B1602" s="71" t="s">
        <v>1568</v>
      </c>
      <c r="C1602" s="132" t="s">
        <v>137</v>
      </c>
      <c r="D1602" s="51" t="s">
        <v>75</v>
      </c>
      <c r="E1602" s="112">
        <v>11.12</v>
      </c>
      <c r="F1602" s="4"/>
      <c r="G1602" s="59">
        <f t="shared" si="36"/>
        <v>0</v>
      </c>
      <c r="K1602" s="93"/>
    </row>
    <row r="1603" spans="2:11" s="38" customFormat="1" ht="60" customHeight="1" outlineLevel="1">
      <c r="B1603" s="71" t="s">
        <v>1569</v>
      </c>
      <c r="C1603" s="132" t="s">
        <v>139</v>
      </c>
      <c r="D1603" s="51" t="s">
        <v>140</v>
      </c>
      <c r="E1603" s="112">
        <v>1</v>
      </c>
      <c r="F1603" s="4"/>
      <c r="G1603" s="59">
        <f t="shared" si="36"/>
        <v>0</v>
      </c>
      <c r="K1603" s="93"/>
    </row>
    <row r="1604" spans="2:11" s="38" customFormat="1" ht="90.75" customHeight="1" outlineLevel="1">
      <c r="B1604" s="71" t="s">
        <v>1570</v>
      </c>
      <c r="C1604" s="132" t="s">
        <v>142</v>
      </c>
      <c r="D1604" s="51" t="s">
        <v>84</v>
      </c>
      <c r="E1604" s="112">
        <v>3.46</v>
      </c>
      <c r="F1604" s="4"/>
      <c r="G1604" s="59">
        <f t="shared" si="36"/>
        <v>0</v>
      </c>
      <c r="K1604" s="93"/>
    </row>
    <row r="1605" spans="2:11" s="38" customFormat="1" ht="99.75" customHeight="1" outlineLevel="1">
      <c r="B1605" s="71" t="s">
        <v>1571</v>
      </c>
      <c r="C1605" s="132" t="s">
        <v>144</v>
      </c>
      <c r="D1605" s="51" t="s">
        <v>84</v>
      </c>
      <c r="E1605" s="112">
        <v>13.17</v>
      </c>
      <c r="F1605" s="4"/>
      <c r="G1605" s="59">
        <f t="shared" si="36"/>
        <v>0</v>
      </c>
      <c r="K1605" s="93"/>
    </row>
    <row r="1606" spans="2:11" s="38" customFormat="1" outlineLevel="1">
      <c r="B1606" s="71"/>
      <c r="C1606" s="50"/>
      <c r="D1606" s="51"/>
      <c r="E1606" s="112"/>
      <c r="F1606" s="4"/>
      <c r="G1606" s="59">
        <f t="shared" si="36"/>
        <v>0</v>
      </c>
      <c r="K1606" s="93"/>
    </row>
    <row r="1607" spans="2:11" s="38" customFormat="1">
      <c r="B1607" s="71" t="s">
        <v>1572</v>
      </c>
      <c r="C1607" s="55" t="s">
        <v>146</v>
      </c>
      <c r="D1607" s="56"/>
      <c r="E1607" s="124">
        <v>0</v>
      </c>
      <c r="F1607" s="4"/>
      <c r="G1607" s="59">
        <f t="shared" si="36"/>
        <v>0</v>
      </c>
      <c r="K1607" s="93"/>
    </row>
    <row r="1608" spans="2:11" s="38" customFormat="1" ht="177" customHeight="1" outlineLevel="1">
      <c r="B1608" s="71" t="s">
        <v>1573</v>
      </c>
      <c r="C1608" s="130" t="s">
        <v>2637</v>
      </c>
      <c r="D1608" s="51" t="s">
        <v>140</v>
      </c>
      <c r="E1608" s="112">
        <v>1</v>
      </c>
      <c r="F1608" s="4"/>
      <c r="G1608" s="59">
        <f t="shared" si="36"/>
        <v>0</v>
      </c>
      <c r="K1608" s="93"/>
    </row>
    <row r="1609" spans="2:11" s="38" customFormat="1" ht="225" customHeight="1" outlineLevel="1">
      <c r="B1609" s="71" t="s">
        <v>1574</v>
      </c>
      <c r="C1609" s="130" t="s">
        <v>149</v>
      </c>
      <c r="D1609" s="51" t="s">
        <v>140</v>
      </c>
      <c r="E1609" s="112">
        <v>1</v>
      </c>
      <c r="F1609" s="4"/>
      <c r="G1609" s="59">
        <f t="shared" si="36"/>
        <v>0</v>
      </c>
      <c r="K1609" s="93"/>
    </row>
    <row r="1610" spans="2:11" s="38" customFormat="1" outlineLevel="1">
      <c r="B1610" s="71"/>
      <c r="C1610" s="50"/>
      <c r="D1610" s="51"/>
      <c r="E1610" s="112"/>
      <c r="F1610" s="4"/>
      <c r="G1610" s="59">
        <f t="shared" si="36"/>
        <v>0</v>
      </c>
      <c r="K1610" s="93"/>
    </row>
    <row r="1611" spans="2:11" s="38" customFormat="1">
      <c r="B1611" s="71" t="s">
        <v>1575</v>
      </c>
      <c r="C1611" s="55" t="s">
        <v>151</v>
      </c>
      <c r="D1611" s="56"/>
      <c r="E1611" s="124">
        <v>0</v>
      </c>
      <c r="F1611" s="4"/>
      <c r="G1611" s="59">
        <f t="shared" si="36"/>
        <v>0</v>
      </c>
      <c r="K1611" s="93"/>
    </row>
    <row r="1612" spans="2:11" s="38" customFormat="1" ht="53.25" customHeight="1" outlineLevel="1">
      <c r="B1612" s="71" t="s">
        <v>1576</v>
      </c>
      <c r="C1612" s="132" t="s">
        <v>153</v>
      </c>
      <c r="D1612" s="51" t="s">
        <v>140</v>
      </c>
      <c r="E1612" s="112">
        <v>1</v>
      </c>
      <c r="F1612" s="13"/>
      <c r="G1612" s="59">
        <f t="shared" si="36"/>
        <v>0</v>
      </c>
      <c r="K1612" s="93"/>
    </row>
    <row r="1613" spans="2:11" s="38" customFormat="1" ht="82.5" customHeight="1" outlineLevel="1">
      <c r="B1613" s="71" t="s">
        <v>1577</v>
      </c>
      <c r="C1613" s="132" t="s">
        <v>155</v>
      </c>
      <c r="D1613" s="51" t="s">
        <v>140</v>
      </c>
      <c r="E1613" s="112">
        <v>1</v>
      </c>
      <c r="F1613" s="13"/>
      <c r="G1613" s="59">
        <f t="shared" si="36"/>
        <v>0</v>
      </c>
      <c r="K1613" s="93"/>
    </row>
    <row r="1614" spans="2:11" s="38" customFormat="1" outlineLevel="1">
      <c r="B1614" s="71"/>
      <c r="C1614" s="50"/>
      <c r="D1614" s="51"/>
      <c r="E1614" s="112"/>
      <c r="F1614" s="13"/>
      <c r="G1614" s="59">
        <f t="shared" si="36"/>
        <v>0</v>
      </c>
      <c r="K1614" s="93"/>
    </row>
    <row r="1615" spans="2:11" s="38" customFormat="1">
      <c r="B1615" s="71" t="s">
        <v>156</v>
      </c>
      <c r="C1615" s="55" t="s">
        <v>157</v>
      </c>
      <c r="D1615" s="56"/>
      <c r="E1615" s="124">
        <v>0</v>
      </c>
      <c r="F1615" s="4">
        <v>0</v>
      </c>
      <c r="G1615" s="59">
        <f t="shared" si="36"/>
        <v>0</v>
      </c>
      <c r="K1615" s="93"/>
    </row>
    <row r="1616" spans="2:11" s="38" customFormat="1" ht="49.5" customHeight="1" outlineLevel="1">
      <c r="B1616" s="98"/>
      <c r="C1616" s="132" t="s">
        <v>158</v>
      </c>
      <c r="D1616" s="51"/>
      <c r="E1616" s="112"/>
      <c r="F1616" s="4"/>
      <c r="G1616" s="59">
        <f t="shared" si="36"/>
        <v>0</v>
      </c>
      <c r="K1616" s="93"/>
    </row>
    <row r="1617" spans="2:11" s="38" customFormat="1" ht="53.25" customHeight="1" outlineLevel="1">
      <c r="B1617" s="71" t="s">
        <v>159</v>
      </c>
      <c r="C1617" s="132" t="s">
        <v>160</v>
      </c>
      <c r="D1617" s="51" t="s">
        <v>140</v>
      </c>
      <c r="E1617" s="112">
        <v>1</v>
      </c>
      <c r="F1617" s="4"/>
      <c r="G1617" s="59">
        <f t="shared" si="36"/>
        <v>0</v>
      </c>
      <c r="K1617" s="100"/>
    </row>
    <row r="1618" spans="2:11" s="38" customFormat="1" ht="47.25" customHeight="1" outlineLevel="1">
      <c r="B1618" s="71" t="s">
        <v>161</v>
      </c>
      <c r="C1618" s="132" t="s">
        <v>162</v>
      </c>
      <c r="D1618" s="51" t="s">
        <v>140</v>
      </c>
      <c r="E1618" s="112">
        <v>1</v>
      </c>
      <c r="F1618" s="4"/>
      <c r="G1618" s="59">
        <f t="shared" si="36"/>
        <v>0</v>
      </c>
      <c r="K1618" s="100"/>
    </row>
    <row r="1619" spans="2:11" s="38" customFormat="1" ht="51" customHeight="1" outlineLevel="1">
      <c r="B1619" s="71" t="s">
        <v>163</v>
      </c>
      <c r="C1619" s="132" t="s">
        <v>164</v>
      </c>
      <c r="D1619" s="51" t="s">
        <v>140</v>
      </c>
      <c r="E1619" s="112">
        <v>1</v>
      </c>
      <c r="F1619" s="4"/>
      <c r="G1619" s="59">
        <f t="shared" si="36"/>
        <v>0</v>
      </c>
      <c r="K1619" s="100"/>
    </row>
    <row r="1620" spans="2:11" s="38" customFormat="1" ht="142.5" customHeight="1" outlineLevel="1">
      <c r="B1620" s="71" t="s">
        <v>165</v>
      </c>
      <c r="C1620" s="132" t="s">
        <v>1578</v>
      </c>
      <c r="D1620" s="51" t="s">
        <v>140</v>
      </c>
      <c r="E1620" s="112">
        <v>1</v>
      </c>
      <c r="F1620" s="4"/>
      <c r="G1620" s="59">
        <f t="shared" si="36"/>
        <v>0</v>
      </c>
      <c r="K1620" s="100"/>
    </row>
    <row r="1621" spans="2:11" s="38" customFormat="1" ht="97.5" customHeight="1" outlineLevel="1">
      <c r="B1621" s="71" t="s">
        <v>167</v>
      </c>
      <c r="C1621" s="132" t="s">
        <v>1579</v>
      </c>
      <c r="D1621" s="51" t="s">
        <v>140</v>
      </c>
      <c r="E1621" s="112">
        <v>1</v>
      </c>
      <c r="F1621" s="4"/>
      <c r="G1621" s="59">
        <f t="shared" si="36"/>
        <v>0</v>
      </c>
      <c r="K1621" s="100"/>
    </row>
    <row r="1622" spans="2:11" s="38" customFormat="1" ht="67.5" customHeight="1" outlineLevel="1">
      <c r="B1622" s="71" t="s">
        <v>169</v>
      </c>
      <c r="C1622" s="132" t="s">
        <v>170</v>
      </c>
      <c r="D1622" s="51" t="s">
        <v>140</v>
      </c>
      <c r="E1622" s="112">
        <v>1</v>
      </c>
      <c r="F1622" s="4"/>
      <c r="G1622" s="59">
        <f t="shared" si="36"/>
        <v>0</v>
      </c>
      <c r="K1622" s="100"/>
    </row>
    <row r="1623" spans="2:11" s="38" customFormat="1" ht="68.25" customHeight="1" outlineLevel="1">
      <c r="B1623" s="71" t="s">
        <v>171</v>
      </c>
      <c r="C1623" s="132" t="s">
        <v>172</v>
      </c>
      <c r="D1623" s="51" t="s">
        <v>140</v>
      </c>
      <c r="E1623" s="112">
        <v>1</v>
      </c>
      <c r="F1623" s="4"/>
      <c r="G1623" s="59">
        <f t="shared" si="36"/>
        <v>0</v>
      </c>
      <c r="K1623" s="100"/>
    </row>
    <row r="1624" spans="2:11" s="38" customFormat="1" ht="58.5" customHeight="1" outlineLevel="1">
      <c r="B1624" s="71" t="s">
        <v>173</v>
      </c>
      <c r="C1624" s="132" t="s">
        <v>174</v>
      </c>
      <c r="D1624" s="51" t="s">
        <v>140</v>
      </c>
      <c r="E1624" s="112">
        <v>1</v>
      </c>
      <c r="F1624" s="4"/>
      <c r="G1624" s="59">
        <f t="shared" ref="G1624:G1640" si="37">E1624*F1624</f>
        <v>0</v>
      </c>
      <c r="K1624" s="100"/>
    </row>
    <row r="1625" spans="2:11" s="38" customFormat="1" ht="64.5" customHeight="1" outlineLevel="1">
      <c r="B1625" s="71" t="s">
        <v>175</v>
      </c>
      <c r="C1625" s="132" t="s">
        <v>2638</v>
      </c>
      <c r="D1625" s="51" t="s">
        <v>140</v>
      </c>
      <c r="E1625" s="112">
        <v>1</v>
      </c>
      <c r="F1625" s="4"/>
      <c r="G1625" s="59">
        <f t="shared" si="37"/>
        <v>0</v>
      </c>
      <c r="K1625" s="100"/>
    </row>
    <row r="1626" spans="2:11" s="38" customFormat="1" ht="51.75" customHeight="1" outlineLevel="1">
      <c r="B1626" s="71" t="s">
        <v>176</v>
      </c>
      <c r="C1626" s="132" t="s">
        <v>177</v>
      </c>
      <c r="D1626" s="51" t="s">
        <v>140</v>
      </c>
      <c r="E1626" s="112">
        <v>1</v>
      </c>
      <c r="F1626" s="4"/>
      <c r="G1626" s="59">
        <f t="shared" si="37"/>
        <v>0</v>
      </c>
      <c r="K1626" s="100"/>
    </row>
    <row r="1627" spans="2:11" s="38" customFormat="1" ht="73.5" customHeight="1" outlineLevel="1">
      <c r="B1627" s="71" t="s">
        <v>178</v>
      </c>
      <c r="C1627" s="132" t="s">
        <v>179</v>
      </c>
      <c r="D1627" s="51" t="s">
        <v>140</v>
      </c>
      <c r="E1627" s="112">
        <v>1</v>
      </c>
      <c r="F1627" s="4"/>
      <c r="G1627" s="59">
        <f t="shared" si="37"/>
        <v>0</v>
      </c>
      <c r="K1627" s="100"/>
    </row>
    <row r="1628" spans="2:11" s="38" customFormat="1" ht="64.5" customHeight="1" outlineLevel="1">
      <c r="B1628" s="71" t="s">
        <v>180</v>
      </c>
      <c r="C1628" s="132" t="s">
        <v>181</v>
      </c>
      <c r="D1628" s="51" t="s">
        <v>140</v>
      </c>
      <c r="E1628" s="112">
        <v>1</v>
      </c>
      <c r="F1628" s="4"/>
      <c r="G1628" s="59">
        <f t="shared" si="37"/>
        <v>0</v>
      </c>
      <c r="K1628" s="100"/>
    </row>
    <row r="1629" spans="2:11" s="38" customFormat="1" ht="25.5" outlineLevel="1">
      <c r="B1629" s="71" t="s">
        <v>182</v>
      </c>
      <c r="C1629" s="132" t="s">
        <v>183</v>
      </c>
      <c r="D1629" s="51" t="s">
        <v>140</v>
      </c>
      <c r="E1629" s="112">
        <v>1</v>
      </c>
      <c r="F1629" s="4"/>
      <c r="G1629" s="59">
        <f t="shared" si="37"/>
        <v>0</v>
      </c>
      <c r="K1629" s="100"/>
    </row>
    <row r="1630" spans="2:11" s="38" customFormat="1" ht="50.25" customHeight="1" outlineLevel="1">
      <c r="B1630" s="71" t="s">
        <v>184</v>
      </c>
      <c r="C1630" s="132" t="s">
        <v>185</v>
      </c>
      <c r="D1630" s="51" t="s">
        <v>140</v>
      </c>
      <c r="E1630" s="112">
        <v>2</v>
      </c>
      <c r="F1630" s="4">
        <v>0</v>
      </c>
      <c r="G1630" s="59">
        <f t="shared" si="37"/>
        <v>0</v>
      </c>
      <c r="K1630" s="100"/>
    </row>
    <row r="1631" spans="2:11" s="38" customFormat="1" ht="55.5" customHeight="1" outlineLevel="1">
      <c r="B1631" s="71" t="s">
        <v>186</v>
      </c>
      <c r="C1631" s="132" t="s">
        <v>187</v>
      </c>
      <c r="D1631" s="51" t="s">
        <v>140</v>
      </c>
      <c r="E1631" s="112">
        <v>1</v>
      </c>
      <c r="F1631" s="4">
        <v>0</v>
      </c>
      <c r="G1631" s="59">
        <f t="shared" si="37"/>
        <v>0</v>
      </c>
      <c r="K1631" s="100"/>
    </row>
    <row r="1632" spans="2:11" s="38" customFormat="1" ht="55.5" customHeight="1" outlineLevel="1">
      <c r="B1632" s="71" t="s">
        <v>188</v>
      </c>
      <c r="C1632" s="132" t="s">
        <v>189</v>
      </c>
      <c r="D1632" s="51" t="s">
        <v>140</v>
      </c>
      <c r="E1632" s="112">
        <v>2</v>
      </c>
      <c r="F1632" s="4">
        <v>0</v>
      </c>
      <c r="G1632" s="59">
        <f t="shared" si="37"/>
        <v>0</v>
      </c>
      <c r="K1632" s="100"/>
    </row>
    <row r="1633" spans="2:11" s="38" customFormat="1" ht="25.5" outlineLevel="1">
      <c r="B1633" s="71" t="s">
        <v>190</v>
      </c>
      <c r="C1633" s="132" t="s">
        <v>191</v>
      </c>
      <c r="D1633" s="51" t="s">
        <v>140</v>
      </c>
      <c r="E1633" s="112">
        <v>1</v>
      </c>
      <c r="F1633" s="4">
        <v>0</v>
      </c>
      <c r="G1633" s="59">
        <f t="shared" si="37"/>
        <v>0</v>
      </c>
      <c r="K1633" s="100"/>
    </row>
    <row r="1634" spans="2:11" s="38" customFormat="1" ht="51.75" customHeight="1" outlineLevel="1">
      <c r="B1634" s="71" t="s">
        <v>192</v>
      </c>
      <c r="C1634" s="132" t="s">
        <v>193</v>
      </c>
      <c r="D1634" s="51" t="s">
        <v>140</v>
      </c>
      <c r="E1634" s="112">
        <v>1</v>
      </c>
      <c r="F1634" s="4"/>
      <c r="G1634" s="59">
        <f t="shared" si="37"/>
        <v>0</v>
      </c>
      <c r="K1634" s="100"/>
    </row>
    <row r="1635" spans="2:11" s="38" customFormat="1" ht="177.75" customHeight="1" outlineLevel="1">
      <c r="B1635" s="71" t="s">
        <v>194</v>
      </c>
      <c r="C1635" s="132" t="s">
        <v>195</v>
      </c>
      <c r="D1635" s="51" t="s">
        <v>140</v>
      </c>
      <c r="E1635" s="112">
        <v>1</v>
      </c>
      <c r="F1635" s="4">
        <v>0</v>
      </c>
      <c r="G1635" s="59">
        <f t="shared" si="37"/>
        <v>0</v>
      </c>
      <c r="K1635" s="100"/>
    </row>
    <row r="1636" spans="2:11" s="38" customFormat="1" ht="75" customHeight="1" outlineLevel="1">
      <c r="B1636" s="71" t="s">
        <v>196</v>
      </c>
      <c r="C1636" s="132" t="s">
        <v>197</v>
      </c>
      <c r="D1636" s="51" t="s">
        <v>140</v>
      </c>
      <c r="E1636" s="112">
        <v>1</v>
      </c>
      <c r="F1636" s="4"/>
      <c r="G1636" s="59">
        <f t="shared" si="37"/>
        <v>0</v>
      </c>
      <c r="K1636" s="100"/>
    </row>
    <row r="1637" spans="2:11" s="38" customFormat="1" ht="75" customHeight="1" outlineLevel="1">
      <c r="B1637" s="71" t="s">
        <v>198</v>
      </c>
      <c r="C1637" s="132" t="s">
        <v>2627</v>
      </c>
      <c r="D1637" s="51" t="s">
        <v>140</v>
      </c>
      <c r="E1637" s="112">
        <v>1</v>
      </c>
      <c r="F1637" s="4"/>
      <c r="G1637" s="59">
        <f t="shared" si="37"/>
        <v>0</v>
      </c>
      <c r="K1637" s="93"/>
    </row>
    <row r="1638" spans="2:11" s="38" customFormat="1" ht="99" customHeight="1" outlineLevel="1">
      <c r="B1638" s="71" t="s">
        <v>199</v>
      </c>
      <c r="C1638" s="132" t="s">
        <v>1580</v>
      </c>
      <c r="D1638" s="51" t="s">
        <v>140</v>
      </c>
      <c r="E1638" s="112">
        <v>1</v>
      </c>
      <c r="F1638" s="4"/>
      <c r="G1638" s="59">
        <f t="shared" si="37"/>
        <v>0</v>
      </c>
      <c r="K1638" s="93"/>
    </row>
    <row r="1639" spans="2:11" s="38" customFormat="1" outlineLevel="1">
      <c r="B1639" s="71"/>
      <c r="C1639" s="50"/>
      <c r="D1639" s="51"/>
      <c r="E1639" s="112"/>
      <c r="F1639" s="4"/>
      <c r="G1639" s="59">
        <f t="shared" si="37"/>
        <v>0</v>
      </c>
      <c r="K1639" s="93"/>
    </row>
    <row r="1640" spans="2:11" s="38" customFormat="1">
      <c r="B1640" s="71" t="s">
        <v>201</v>
      </c>
      <c r="C1640" s="55" t="s">
        <v>202</v>
      </c>
      <c r="D1640" s="56"/>
      <c r="E1640" s="124">
        <v>0</v>
      </c>
      <c r="F1640" s="4"/>
      <c r="G1640" s="59">
        <f t="shared" si="37"/>
        <v>0</v>
      </c>
      <c r="K1640" s="100"/>
    </row>
    <row r="1641" spans="2:11" s="38" customFormat="1" ht="63.75" outlineLevel="1">
      <c r="B1641" s="71" t="s">
        <v>203</v>
      </c>
      <c r="C1641" s="132" t="s">
        <v>204</v>
      </c>
      <c r="D1641" s="51" t="s">
        <v>84</v>
      </c>
      <c r="E1641" s="112">
        <v>2.1</v>
      </c>
      <c r="F1641" s="4"/>
      <c r="G1641" s="59">
        <f>E1641*F1641</f>
        <v>0</v>
      </c>
      <c r="K1641" s="100"/>
    </row>
    <row r="1642" spans="2:11" s="38" customFormat="1">
      <c r="B1642" s="71"/>
      <c r="C1642" s="55"/>
      <c r="D1642" s="56"/>
      <c r="E1642" s="124"/>
      <c r="F1642" s="4"/>
      <c r="G1642" s="4"/>
      <c r="K1642" s="100"/>
    </row>
    <row r="1643" spans="2:11" s="38" customFormat="1">
      <c r="B1643" s="72" t="s">
        <v>1581</v>
      </c>
      <c r="C1643" s="52"/>
      <c r="D1643" s="15"/>
      <c r="E1643" s="122"/>
      <c r="F1643" s="54"/>
      <c r="G1643" s="58">
        <f>SUM(G1533:G1642)</f>
        <v>0</v>
      </c>
      <c r="K1643" s="93"/>
    </row>
    <row r="1644" spans="2:11" s="38" customFormat="1" outlineLevel="1">
      <c r="B1644" s="71"/>
      <c r="C1644" s="50"/>
      <c r="D1644" s="51"/>
      <c r="E1644" s="112"/>
      <c r="F1644" s="4"/>
      <c r="G1644" s="59"/>
      <c r="K1644" s="100"/>
    </row>
    <row r="1645" spans="2:11" s="38" customFormat="1">
      <c r="B1645" s="114" t="s">
        <v>1582</v>
      </c>
      <c r="C1645" s="52"/>
      <c r="D1645" s="15"/>
      <c r="E1645" s="122"/>
      <c r="F1645" s="54"/>
      <c r="G1645" s="58"/>
      <c r="K1645" s="93"/>
    </row>
    <row r="1646" spans="2:11" s="38" customFormat="1" ht="38.25">
      <c r="B1646" s="116"/>
      <c r="C1646" s="55" t="s">
        <v>207</v>
      </c>
      <c r="D1646" s="11" t="s">
        <v>140</v>
      </c>
      <c r="E1646" s="112">
        <v>8</v>
      </c>
      <c r="F1646" s="13"/>
      <c r="G1646" s="113">
        <f>E1646*G1643</f>
        <v>0</v>
      </c>
      <c r="K1646" s="93"/>
    </row>
    <row r="1647" spans="2:11" s="38" customFormat="1" outlineLevel="1">
      <c r="B1647" s="71"/>
      <c r="C1647" s="50"/>
      <c r="D1647" s="51"/>
      <c r="E1647" s="112"/>
      <c r="F1647" s="4"/>
      <c r="G1647" s="59"/>
      <c r="K1647" s="100"/>
    </row>
    <row r="1648" spans="2:11" s="38" customFormat="1">
      <c r="B1648" s="135">
        <v>3.2</v>
      </c>
      <c r="C1648" s="70" t="s">
        <v>1583</v>
      </c>
      <c r="D1648" s="49"/>
      <c r="E1648" s="123">
        <v>0</v>
      </c>
      <c r="F1648" s="54">
        <v>0</v>
      </c>
      <c r="G1648" s="58"/>
      <c r="K1648" s="93"/>
    </row>
    <row r="1649" spans="2:11" s="38" customFormat="1">
      <c r="B1649" s="116"/>
      <c r="C1649" s="116"/>
      <c r="D1649" s="56"/>
      <c r="E1649" s="124"/>
      <c r="F1649" s="13"/>
      <c r="G1649" s="113"/>
      <c r="K1649" s="93"/>
    </row>
    <row r="1650" spans="2:11" s="38" customFormat="1" ht="48.75" customHeight="1">
      <c r="B1650" s="116"/>
      <c r="C1650" s="132" t="s">
        <v>60</v>
      </c>
      <c r="D1650" s="56"/>
      <c r="E1650" s="124"/>
      <c r="F1650" s="13"/>
      <c r="G1650" s="59">
        <f t="shared" ref="G1650:G1713" si="38">E1650*F1650</f>
        <v>0</v>
      </c>
      <c r="K1650" s="93"/>
    </row>
    <row r="1651" spans="2:11" s="38" customFormat="1">
      <c r="B1651" s="116"/>
      <c r="C1651" s="116"/>
      <c r="D1651" s="56"/>
      <c r="E1651" s="124"/>
      <c r="F1651" s="13"/>
      <c r="G1651" s="59">
        <f t="shared" si="38"/>
        <v>0</v>
      </c>
      <c r="K1651" s="93"/>
    </row>
    <row r="1652" spans="2:11" s="38" customFormat="1">
      <c r="B1652" s="71" t="s">
        <v>1584</v>
      </c>
      <c r="C1652" s="55" t="s">
        <v>62</v>
      </c>
      <c r="D1652" s="56"/>
      <c r="E1652" s="124">
        <v>0</v>
      </c>
      <c r="F1652" s="13">
        <v>0</v>
      </c>
      <c r="G1652" s="59">
        <f t="shared" si="38"/>
        <v>0</v>
      </c>
      <c r="K1652" s="93"/>
    </row>
    <row r="1653" spans="2:11" s="38" customFormat="1" ht="200.25" customHeight="1" outlineLevel="1">
      <c r="B1653" s="71" t="s">
        <v>1585</v>
      </c>
      <c r="C1653" s="132" t="s">
        <v>64</v>
      </c>
      <c r="D1653" s="51" t="s">
        <v>38</v>
      </c>
      <c r="E1653" s="112">
        <v>1</v>
      </c>
      <c r="F1653" s="4"/>
      <c r="G1653" s="59">
        <f t="shared" si="38"/>
        <v>0</v>
      </c>
      <c r="K1653" s="93"/>
    </row>
    <row r="1654" spans="2:11" s="38" customFormat="1" outlineLevel="1">
      <c r="B1654" s="71"/>
      <c r="C1654" s="50"/>
      <c r="D1654" s="51"/>
      <c r="E1654" s="112"/>
      <c r="F1654" s="4"/>
      <c r="G1654" s="59">
        <f t="shared" si="38"/>
        <v>0</v>
      </c>
      <c r="K1654" s="93"/>
    </row>
    <row r="1655" spans="2:11" s="38" customFormat="1">
      <c r="B1655" s="71" t="s">
        <v>1586</v>
      </c>
      <c r="C1655" s="55" t="s">
        <v>66</v>
      </c>
      <c r="D1655" s="56"/>
      <c r="E1655" s="124">
        <v>0</v>
      </c>
      <c r="F1655" s="13"/>
      <c r="G1655" s="59">
        <f t="shared" si="38"/>
        <v>0</v>
      </c>
      <c r="K1655" s="93"/>
    </row>
    <row r="1656" spans="2:11" s="38" customFormat="1" ht="54.75" customHeight="1" outlineLevel="1">
      <c r="B1656" s="71" t="s">
        <v>1587</v>
      </c>
      <c r="C1656" s="132" t="s">
        <v>68</v>
      </c>
      <c r="D1656" s="51" t="s">
        <v>38</v>
      </c>
      <c r="E1656" s="112">
        <v>1</v>
      </c>
      <c r="F1656" s="4"/>
      <c r="G1656" s="59">
        <f t="shared" si="38"/>
        <v>0</v>
      </c>
      <c r="K1656" s="100"/>
    </row>
    <row r="1657" spans="2:11" s="38" customFormat="1" ht="74.25" customHeight="1" outlineLevel="1">
      <c r="B1657" s="71" t="s">
        <v>1588</v>
      </c>
      <c r="C1657" s="132" t="s">
        <v>70</v>
      </c>
      <c r="D1657" s="51" t="s">
        <v>38</v>
      </c>
      <c r="E1657" s="112">
        <v>1</v>
      </c>
      <c r="F1657" s="4"/>
      <c r="G1657" s="59">
        <f t="shared" si="38"/>
        <v>0</v>
      </c>
      <c r="K1657" s="100"/>
    </row>
    <row r="1658" spans="2:11" s="38" customFormat="1">
      <c r="B1658" s="71" t="s">
        <v>1589</v>
      </c>
      <c r="C1658" s="55" t="s">
        <v>72</v>
      </c>
      <c r="D1658" s="56"/>
      <c r="E1658" s="124">
        <v>0</v>
      </c>
      <c r="F1658" s="4">
        <v>0</v>
      </c>
      <c r="G1658" s="59">
        <f t="shared" si="38"/>
        <v>0</v>
      </c>
      <c r="K1658" s="93"/>
    </row>
    <row r="1659" spans="2:11" s="38" customFormat="1" ht="122.25" customHeight="1" outlineLevel="1">
      <c r="B1659" s="71" t="s">
        <v>1590</v>
      </c>
      <c r="C1659" s="132" t="s">
        <v>324</v>
      </c>
      <c r="D1659" s="51" t="s">
        <v>75</v>
      </c>
      <c r="E1659" s="112">
        <v>23.07</v>
      </c>
      <c r="F1659" s="4"/>
      <c r="G1659" s="59">
        <f t="shared" si="38"/>
        <v>0</v>
      </c>
      <c r="K1659" s="93"/>
    </row>
    <row r="1660" spans="2:11" s="38" customFormat="1" ht="89.25" customHeight="1" outlineLevel="1">
      <c r="B1660" s="71" t="s">
        <v>1591</v>
      </c>
      <c r="C1660" s="132" t="s">
        <v>77</v>
      </c>
      <c r="D1660" s="51" t="s">
        <v>75</v>
      </c>
      <c r="E1660" s="112">
        <v>9.15</v>
      </c>
      <c r="F1660" s="4"/>
      <c r="G1660" s="59">
        <f t="shared" si="38"/>
        <v>0</v>
      </c>
      <c r="K1660" s="93"/>
    </row>
    <row r="1661" spans="2:11" s="38" customFormat="1" ht="81.599999999999994" customHeight="1" outlineLevel="1">
      <c r="B1661" s="71" t="s">
        <v>1592</v>
      </c>
      <c r="C1661" s="132" t="s">
        <v>327</v>
      </c>
      <c r="D1661" s="51" t="s">
        <v>75</v>
      </c>
      <c r="E1661" s="112">
        <v>26.79</v>
      </c>
      <c r="F1661" s="57"/>
      <c r="G1661" s="59">
        <f t="shared" si="38"/>
        <v>0</v>
      </c>
      <c r="K1661" s="93"/>
    </row>
    <row r="1662" spans="2:11" s="38" customFormat="1" ht="108" customHeight="1" outlineLevel="1">
      <c r="B1662" s="71" t="s">
        <v>1593</v>
      </c>
      <c r="C1662" s="50" t="s">
        <v>1594</v>
      </c>
      <c r="D1662" s="51" t="s">
        <v>75</v>
      </c>
      <c r="E1662" s="112">
        <v>2.56</v>
      </c>
      <c r="F1662" s="4"/>
      <c r="G1662" s="59">
        <f t="shared" si="38"/>
        <v>0</v>
      </c>
      <c r="K1662" s="93"/>
    </row>
    <row r="1663" spans="2:11" s="38" customFormat="1" ht="83.25" customHeight="1" outlineLevel="1">
      <c r="B1663" s="71" t="s">
        <v>1595</v>
      </c>
      <c r="C1663" s="132" t="s">
        <v>331</v>
      </c>
      <c r="D1663" s="51" t="s">
        <v>84</v>
      </c>
      <c r="E1663" s="112">
        <v>1.8</v>
      </c>
      <c r="F1663" s="4"/>
      <c r="G1663" s="59">
        <f t="shared" si="38"/>
        <v>0</v>
      </c>
      <c r="K1663" s="93"/>
    </row>
    <row r="1664" spans="2:11" s="38" customFormat="1" ht="48.75" customHeight="1" outlineLevel="1">
      <c r="B1664" s="71" t="s">
        <v>1596</v>
      </c>
      <c r="C1664" s="132" t="s">
        <v>86</v>
      </c>
      <c r="D1664" s="51" t="s">
        <v>84</v>
      </c>
      <c r="E1664" s="112">
        <v>6.3</v>
      </c>
      <c r="F1664" s="4"/>
      <c r="G1664" s="59">
        <f t="shared" si="38"/>
        <v>0</v>
      </c>
      <c r="K1664" s="93"/>
    </row>
    <row r="1665" spans="2:11" s="38" customFormat="1" ht="46.5" customHeight="1" outlineLevel="1">
      <c r="B1665" s="71" t="s">
        <v>1597</v>
      </c>
      <c r="C1665" s="132" t="s">
        <v>88</v>
      </c>
      <c r="D1665" s="51" t="s">
        <v>84</v>
      </c>
      <c r="E1665" s="112">
        <v>11.51</v>
      </c>
      <c r="F1665" s="4"/>
      <c r="G1665" s="59">
        <f t="shared" si="38"/>
        <v>0</v>
      </c>
      <c r="K1665" s="93"/>
    </row>
    <row r="1666" spans="2:11" s="38" customFormat="1" ht="114.75" outlineLevel="1">
      <c r="B1666" s="71" t="s">
        <v>1598</v>
      </c>
      <c r="C1666" s="130" t="s">
        <v>335</v>
      </c>
      <c r="D1666" s="51" t="s">
        <v>91</v>
      </c>
      <c r="E1666" s="112">
        <v>1</v>
      </c>
      <c r="F1666" s="4"/>
      <c r="G1666" s="59">
        <f t="shared" si="38"/>
        <v>0</v>
      </c>
      <c r="K1666" s="93"/>
    </row>
    <row r="1667" spans="2:11" s="38" customFormat="1" outlineLevel="1">
      <c r="B1667" s="71"/>
      <c r="C1667" s="50"/>
      <c r="D1667" s="51"/>
      <c r="E1667" s="112"/>
      <c r="F1667" s="4"/>
      <c r="G1667" s="59">
        <f t="shared" si="38"/>
        <v>0</v>
      </c>
      <c r="K1667" s="93"/>
    </row>
    <row r="1668" spans="2:11" s="38" customFormat="1">
      <c r="B1668" s="71" t="s">
        <v>1599</v>
      </c>
      <c r="C1668" s="55" t="s">
        <v>93</v>
      </c>
      <c r="D1668" s="56"/>
      <c r="E1668" s="124">
        <v>0</v>
      </c>
      <c r="F1668" s="4">
        <v>0</v>
      </c>
      <c r="G1668" s="59">
        <f t="shared" si="38"/>
        <v>0</v>
      </c>
      <c r="K1668" s="93"/>
    </row>
    <row r="1669" spans="2:11" s="38" customFormat="1" ht="61.5" customHeight="1" outlineLevel="1">
      <c r="B1669" s="71" t="s">
        <v>1600</v>
      </c>
      <c r="C1669" s="132" t="s">
        <v>95</v>
      </c>
      <c r="D1669" s="51" t="s">
        <v>75</v>
      </c>
      <c r="E1669" s="112">
        <v>1.4</v>
      </c>
      <c r="F1669" s="4"/>
      <c r="G1669" s="59">
        <f t="shared" si="38"/>
        <v>0</v>
      </c>
      <c r="K1669" s="93"/>
    </row>
    <row r="1670" spans="2:11" s="38" customFormat="1" ht="72" customHeight="1" outlineLevel="1">
      <c r="B1670" s="71" t="s">
        <v>1601</v>
      </c>
      <c r="C1670" s="132" t="s">
        <v>97</v>
      </c>
      <c r="D1670" s="51" t="s">
        <v>75</v>
      </c>
      <c r="E1670" s="112">
        <v>20.67</v>
      </c>
      <c r="F1670" s="4"/>
      <c r="G1670" s="59">
        <f t="shared" si="38"/>
        <v>0</v>
      </c>
      <c r="K1670" s="93"/>
    </row>
    <row r="1671" spans="2:11" s="38" customFormat="1" ht="108" customHeight="1" outlineLevel="1">
      <c r="B1671" s="71" t="s">
        <v>1602</v>
      </c>
      <c r="C1671" s="132" t="s">
        <v>99</v>
      </c>
      <c r="D1671" s="51" t="s">
        <v>75</v>
      </c>
      <c r="E1671" s="112">
        <v>49.05</v>
      </c>
      <c r="F1671" s="4"/>
      <c r="G1671" s="59">
        <f t="shared" si="38"/>
        <v>0</v>
      </c>
      <c r="K1671" s="93"/>
    </row>
    <row r="1672" spans="2:11" s="38" customFormat="1" ht="126.75" customHeight="1" outlineLevel="1">
      <c r="B1672" s="71" t="s">
        <v>1603</v>
      </c>
      <c r="C1672" s="132" t="s">
        <v>340</v>
      </c>
      <c r="D1672" s="51" t="s">
        <v>75</v>
      </c>
      <c r="E1672" s="112">
        <v>1.94</v>
      </c>
      <c r="F1672" s="4"/>
      <c r="G1672" s="59">
        <f t="shared" si="38"/>
        <v>0</v>
      </c>
      <c r="K1672" s="93"/>
    </row>
    <row r="1673" spans="2:11" s="38" customFormat="1" ht="104.25" customHeight="1" outlineLevel="1">
      <c r="B1673" s="71" t="s">
        <v>1604</v>
      </c>
      <c r="C1673" s="132" t="s">
        <v>103</v>
      </c>
      <c r="D1673" s="115"/>
      <c r="E1673" s="112">
        <v>2.68</v>
      </c>
      <c r="G1673" s="59">
        <f t="shared" si="38"/>
        <v>0</v>
      </c>
      <c r="K1673" s="93"/>
    </row>
    <row r="1674" spans="2:11" s="38" customFormat="1" ht="187.5" customHeight="1" outlineLevel="1">
      <c r="B1674" s="71" t="s">
        <v>1605</v>
      </c>
      <c r="C1674" s="130" t="s">
        <v>343</v>
      </c>
      <c r="D1674" s="51" t="s">
        <v>75</v>
      </c>
      <c r="E1674" s="112">
        <v>5.13</v>
      </c>
      <c r="F1674" s="4"/>
      <c r="G1674" s="59">
        <f t="shared" si="38"/>
        <v>0</v>
      </c>
      <c r="K1674" s="93"/>
    </row>
    <row r="1675" spans="2:11" s="38" customFormat="1" ht="178.5" outlineLevel="1">
      <c r="B1675" s="71" t="s">
        <v>1606</v>
      </c>
      <c r="C1675" s="132" t="s">
        <v>2614</v>
      </c>
      <c r="D1675" s="51" t="s">
        <v>75</v>
      </c>
      <c r="E1675" s="112">
        <v>9.76</v>
      </c>
      <c r="F1675" s="4"/>
      <c r="G1675" s="59">
        <f t="shared" si="38"/>
        <v>0</v>
      </c>
      <c r="K1675" s="93"/>
    </row>
    <row r="1676" spans="2:11" s="38" customFormat="1" ht="178.5" outlineLevel="1">
      <c r="B1676" s="71" t="s">
        <v>1607</v>
      </c>
      <c r="C1676" s="130" t="s">
        <v>2617</v>
      </c>
      <c r="D1676" s="51" t="s">
        <v>75</v>
      </c>
      <c r="E1676" s="112">
        <v>3.23</v>
      </c>
      <c r="F1676" s="4"/>
      <c r="G1676" s="59">
        <f t="shared" si="38"/>
        <v>0</v>
      </c>
      <c r="K1676" s="93"/>
    </row>
    <row r="1677" spans="2:11" s="38" customFormat="1" ht="171" customHeight="1" outlineLevel="1">
      <c r="B1677" s="71" t="s">
        <v>1608</v>
      </c>
      <c r="C1677" s="132" t="s">
        <v>347</v>
      </c>
      <c r="D1677" s="51" t="s">
        <v>75</v>
      </c>
      <c r="E1677" s="112">
        <v>3.26</v>
      </c>
      <c r="F1677" s="4"/>
      <c r="G1677" s="59">
        <f t="shared" si="38"/>
        <v>0</v>
      </c>
      <c r="K1677" s="93"/>
    </row>
    <row r="1678" spans="2:11" s="38" customFormat="1" ht="89.25" customHeight="1" outlineLevel="1">
      <c r="B1678" s="71" t="s">
        <v>1609</v>
      </c>
      <c r="C1678" s="132" t="s">
        <v>349</v>
      </c>
      <c r="D1678" s="51" t="s">
        <v>75</v>
      </c>
      <c r="E1678" s="112">
        <v>21.27</v>
      </c>
      <c r="F1678" s="4"/>
      <c r="G1678" s="59">
        <f t="shared" si="38"/>
        <v>0</v>
      </c>
      <c r="K1678" s="93"/>
    </row>
    <row r="1679" spans="2:11" s="38" customFormat="1" ht="89.25" customHeight="1" outlineLevel="1">
      <c r="B1679" s="71" t="s">
        <v>1610</v>
      </c>
      <c r="C1679" s="132" t="s">
        <v>351</v>
      </c>
      <c r="D1679" s="51" t="s">
        <v>75</v>
      </c>
      <c r="E1679" s="112">
        <v>29.69</v>
      </c>
      <c r="F1679" s="4"/>
      <c r="G1679" s="59">
        <f t="shared" si="38"/>
        <v>0</v>
      </c>
      <c r="K1679" s="93"/>
    </row>
    <row r="1680" spans="2:11" s="38" customFormat="1" ht="105.75" customHeight="1" outlineLevel="1">
      <c r="B1680" s="71" t="s">
        <v>1611</v>
      </c>
      <c r="C1680" s="132" t="s">
        <v>353</v>
      </c>
      <c r="D1680" s="51" t="s">
        <v>75</v>
      </c>
      <c r="E1680" s="112">
        <v>2.68</v>
      </c>
      <c r="F1680" s="4"/>
      <c r="G1680" s="59">
        <f t="shared" si="38"/>
        <v>0</v>
      </c>
      <c r="K1680" s="93"/>
    </row>
    <row r="1681" spans="2:11" s="38" customFormat="1" ht="99" customHeight="1" outlineLevel="1">
      <c r="B1681" s="71" t="s">
        <v>1612</v>
      </c>
      <c r="C1681" s="132" t="s">
        <v>355</v>
      </c>
      <c r="D1681" s="51" t="s">
        <v>84</v>
      </c>
      <c r="E1681" s="112">
        <v>7.14</v>
      </c>
      <c r="F1681" s="4"/>
      <c r="G1681" s="59">
        <f t="shared" si="38"/>
        <v>0</v>
      </c>
      <c r="K1681" s="93"/>
    </row>
    <row r="1682" spans="2:11" s="38" customFormat="1" ht="99.75" customHeight="1" outlineLevel="1">
      <c r="B1682" s="71" t="s">
        <v>1613</v>
      </c>
      <c r="C1682" s="132" t="s">
        <v>121</v>
      </c>
      <c r="D1682" s="51" t="s">
        <v>84</v>
      </c>
      <c r="E1682" s="112">
        <v>5.5</v>
      </c>
      <c r="F1682" s="4"/>
      <c r="G1682" s="59">
        <f t="shared" si="38"/>
        <v>0</v>
      </c>
      <c r="K1682" s="93"/>
    </row>
    <row r="1683" spans="2:11" s="38" customFormat="1" outlineLevel="1">
      <c r="B1683" s="71"/>
      <c r="C1683" s="50"/>
      <c r="D1683" s="51"/>
      <c r="E1683" s="112"/>
      <c r="F1683" s="4"/>
      <c r="G1683" s="59">
        <f t="shared" si="38"/>
        <v>0</v>
      </c>
      <c r="K1683" s="93"/>
    </row>
    <row r="1684" spans="2:11" s="38" customFormat="1">
      <c r="B1684" s="71" t="s">
        <v>1614</v>
      </c>
      <c r="C1684" s="55" t="s">
        <v>123</v>
      </c>
      <c r="D1684" s="56"/>
      <c r="E1684" s="124">
        <v>0</v>
      </c>
      <c r="F1684" s="4"/>
      <c r="G1684" s="59">
        <f t="shared" si="38"/>
        <v>0</v>
      </c>
      <c r="K1684" s="93"/>
    </row>
    <row r="1685" spans="2:11" s="38" customFormat="1" ht="157.5" customHeight="1" outlineLevel="1">
      <c r="B1685" s="71" t="s">
        <v>1615</v>
      </c>
      <c r="C1685" s="132" t="s">
        <v>361</v>
      </c>
      <c r="D1685" s="51" t="s">
        <v>75</v>
      </c>
      <c r="E1685" s="112">
        <v>7.03</v>
      </c>
      <c r="F1685" s="4"/>
      <c r="G1685" s="59">
        <f t="shared" si="38"/>
        <v>0</v>
      </c>
      <c r="K1685" s="93"/>
    </row>
    <row r="1686" spans="2:11" s="38" customFormat="1" ht="194.25" customHeight="1" outlineLevel="1">
      <c r="B1686" s="71" t="s">
        <v>1616</v>
      </c>
      <c r="C1686" s="132" t="s">
        <v>363</v>
      </c>
      <c r="D1686" s="51" t="s">
        <v>75</v>
      </c>
      <c r="E1686" s="112">
        <v>3.62</v>
      </c>
      <c r="F1686" s="4"/>
      <c r="G1686" s="59">
        <f t="shared" si="38"/>
        <v>0</v>
      </c>
      <c r="K1686" s="93"/>
    </row>
    <row r="1687" spans="2:11" s="38" customFormat="1" ht="135" customHeight="1" outlineLevel="1">
      <c r="B1687" s="71" t="s">
        <v>1617</v>
      </c>
      <c r="C1687" s="132" t="s">
        <v>365</v>
      </c>
      <c r="D1687" s="51" t="s">
        <v>84</v>
      </c>
      <c r="E1687" s="112">
        <v>4.21</v>
      </c>
      <c r="F1687" s="4"/>
      <c r="G1687" s="59">
        <f t="shared" si="38"/>
        <v>0</v>
      </c>
      <c r="K1687" s="93"/>
    </row>
    <row r="1688" spans="2:11" s="38" customFormat="1" ht="105.75" customHeight="1" outlineLevel="1">
      <c r="B1688" s="71" t="s">
        <v>1618</v>
      </c>
      <c r="C1688" s="132" t="s">
        <v>131</v>
      </c>
      <c r="D1688" s="51" t="s">
        <v>75</v>
      </c>
      <c r="E1688" s="112">
        <v>7.47</v>
      </c>
      <c r="F1688" s="4"/>
      <c r="G1688" s="59">
        <f t="shared" si="38"/>
        <v>0</v>
      </c>
      <c r="K1688" s="93"/>
    </row>
    <row r="1689" spans="2:11" s="38" customFormat="1" ht="99" customHeight="1" outlineLevel="1">
      <c r="B1689" s="71" t="s">
        <v>1619</v>
      </c>
      <c r="C1689" s="132" t="s">
        <v>368</v>
      </c>
      <c r="D1689" s="51" t="s">
        <v>75</v>
      </c>
      <c r="E1689" s="112">
        <v>7.03</v>
      </c>
      <c r="F1689" s="4"/>
      <c r="G1689" s="59">
        <f t="shared" si="38"/>
        <v>0</v>
      </c>
      <c r="K1689" s="93"/>
    </row>
    <row r="1690" spans="2:11" s="38" customFormat="1" ht="103.5" customHeight="1" outlineLevel="1">
      <c r="B1690" s="71" t="s">
        <v>1620</v>
      </c>
      <c r="C1690" s="132" t="s">
        <v>370</v>
      </c>
      <c r="D1690" s="51" t="s">
        <v>75</v>
      </c>
      <c r="E1690" s="112">
        <v>3.62</v>
      </c>
      <c r="F1690" s="4"/>
      <c r="G1690" s="59">
        <f t="shared" si="38"/>
        <v>0</v>
      </c>
      <c r="K1690" s="93"/>
    </row>
    <row r="1691" spans="2:11" s="38" customFormat="1" ht="88.5" customHeight="1" outlineLevel="1">
      <c r="B1691" s="71" t="s">
        <v>1621</v>
      </c>
      <c r="C1691" s="132" t="s">
        <v>137</v>
      </c>
      <c r="D1691" s="51" t="s">
        <v>75</v>
      </c>
      <c r="E1691" s="112">
        <v>8.56</v>
      </c>
      <c r="F1691" s="4"/>
      <c r="G1691" s="59">
        <f t="shared" si="38"/>
        <v>0</v>
      </c>
      <c r="K1691" s="93"/>
    </row>
    <row r="1692" spans="2:11" s="38" customFormat="1" ht="60" customHeight="1" outlineLevel="1">
      <c r="B1692" s="71" t="s">
        <v>1622</v>
      </c>
      <c r="C1692" s="132" t="s">
        <v>139</v>
      </c>
      <c r="D1692" s="51" t="s">
        <v>140</v>
      </c>
      <c r="E1692" s="112">
        <v>1</v>
      </c>
      <c r="F1692" s="4"/>
      <c r="G1692" s="59">
        <f t="shared" si="38"/>
        <v>0</v>
      </c>
      <c r="K1692" s="93"/>
    </row>
    <row r="1693" spans="2:11" s="38" customFormat="1" ht="90.75" customHeight="1" outlineLevel="1">
      <c r="B1693" s="71" t="s">
        <v>1623</v>
      </c>
      <c r="C1693" s="132" t="s">
        <v>142</v>
      </c>
      <c r="D1693" s="51" t="s">
        <v>84</v>
      </c>
      <c r="E1693" s="112">
        <v>5.07</v>
      </c>
      <c r="F1693" s="4"/>
      <c r="G1693" s="59">
        <f t="shared" si="38"/>
        <v>0</v>
      </c>
      <c r="K1693" s="93"/>
    </row>
    <row r="1694" spans="2:11" s="38" customFormat="1" ht="99.75" customHeight="1" outlineLevel="1">
      <c r="B1694" s="71" t="s">
        <v>1624</v>
      </c>
      <c r="C1694" s="132" t="s">
        <v>144</v>
      </c>
      <c r="D1694" s="51" t="s">
        <v>84</v>
      </c>
      <c r="E1694" s="112">
        <v>11.95</v>
      </c>
      <c r="F1694" s="4"/>
      <c r="G1694" s="59">
        <f t="shared" si="38"/>
        <v>0</v>
      </c>
      <c r="K1694" s="93"/>
    </row>
    <row r="1695" spans="2:11" s="38" customFormat="1" outlineLevel="1">
      <c r="B1695" s="71"/>
      <c r="C1695" s="50"/>
      <c r="D1695" s="51"/>
      <c r="E1695" s="112"/>
      <c r="F1695" s="4"/>
      <c r="G1695" s="59">
        <f t="shared" si="38"/>
        <v>0</v>
      </c>
      <c r="K1695" s="93"/>
    </row>
    <row r="1696" spans="2:11" s="38" customFormat="1">
      <c r="B1696" s="71" t="s">
        <v>1625</v>
      </c>
      <c r="C1696" s="55" t="s">
        <v>146</v>
      </c>
      <c r="D1696" s="56"/>
      <c r="E1696" s="124">
        <v>0</v>
      </c>
      <c r="F1696" s="4"/>
      <c r="G1696" s="59">
        <f t="shared" si="38"/>
        <v>0</v>
      </c>
      <c r="K1696" s="93"/>
    </row>
    <row r="1697" spans="2:11" s="38" customFormat="1" ht="177" customHeight="1" outlineLevel="1">
      <c r="B1697" s="71" t="s">
        <v>1626</v>
      </c>
      <c r="C1697" s="130" t="s">
        <v>2637</v>
      </c>
      <c r="D1697" s="51" t="s">
        <v>140</v>
      </c>
      <c r="E1697" s="112">
        <v>1</v>
      </c>
      <c r="F1697" s="4"/>
      <c r="G1697" s="59">
        <f t="shared" si="38"/>
        <v>0</v>
      </c>
      <c r="K1697" s="93"/>
    </row>
    <row r="1698" spans="2:11" s="38" customFormat="1" ht="225" customHeight="1" outlineLevel="1">
      <c r="B1698" s="71" t="s">
        <v>1627</v>
      </c>
      <c r="C1698" s="130" t="s">
        <v>149</v>
      </c>
      <c r="D1698" s="51" t="s">
        <v>140</v>
      </c>
      <c r="E1698" s="112">
        <v>1</v>
      </c>
      <c r="F1698" s="4"/>
      <c r="G1698" s="59">
        <f t="shared" si="38"/>
        <v>0</v>
      </c>
      <c r="K1698" s="93"/>
    </row>
    <row r="1699" spans="2:11" s="38" customFormat="1" outlineLevel="1">
      <c r="B1699" s="71"/>
      <c r="C1699" s="50"/>
      <c r="D1699" s="51"/>
      <c r="E1699" s="112"/>
      <c r="F1699" s="4"/>
      <c r="G1699" s="59">
        <f t="shared" si="38"/>
        <v>0</v>
      </c>
      <c r="K1699" s="93"/>
    </row>
    <row r="1700" spans="2:11" s="38" customFormat="1">
      <c r="B1700" s="71" t="s">
        <v>1628</v>
      </c>
      <c r="C1700" s="55" t="s">
        <v>151</v>
      </c>
      <c r="D1700" s="56"/>
      <c r="E1700" s="124">
        <v>0</v>
      </c>
      <c r="F1700" s="4"/>
      <c r="G1700" s="59">
        <f t="shared" si="38"/>
        <v>0</v>
      </c>
      <c r="K1700" s="93"/>
    </row>
    <row r="1701" spans="2:11" s="38" customFormat="1" ht="53.25" customHeight="1" outlineLevel="1">
      <c r="B1701" s="71" t="s">
        <v>1629</v>
      </c>
      <c r="C1701" s="132" t="s">
        <v>153</v>
      </c>
      <c r="D1701" s="51" t="s">
        <v>140</v>
      </c>
      <c r="E1701" s="112">
        <v>1</v>
      </c>
      <c r="F1701" s="13"/>
      <c r="G1701" s="59">
        <f t="shared" si="38"/>
        <v>0</v>
      </c>
      <c r="K1701" s="93"/>
    </row>
    <row r="1702" spans="2:11" s="38" customFormat="1" ht="82.5" customHeight="1" outlineLevel="1">
      <c r="B1702" s="71" t="s">
        <v>1630</v>
      </c>
      <c r="C1702" s="132" t="s">
        <v>155</v>
      </c>
      <c r="D1702" s="51" t="s">
        <v>140</v>
      </c>
      <c r="E1702" s="112">
        <v>1</v>
      </c>
      <c r="F1702" s="13"/>
      <c r="G1702" s="59">
        <f t="shared" si="38"/>
        <v>0</v>
      </c>
      <c r="K1702" s="93"/>
    </row>
    <row r="1703" spans="2:11" s="38" customFormat="1" outlineLevel="1">
      <c r="B1703" s="71"/>
      <c r="C1703" s="50"/>
      <c r="D1703" s="51"/>
      <c r="E1703" s="112"/>
      <c r="F1703" s="13"/>
      <c r="G1703" s="59">
        <f t="shared" si="38"/>
        <v>0</v>
      </c>
      <c r="K1703" s="93"/>
    </row>
    <row r="1704" spans="2:11" s="38" customFormat="1">
      <c r="B1704" s="71" t="s">
        <v>1631</v>
      </c>
      <c r="C1704" s="55" t="s">
        <v>157</v>
      </c>
      <c r="D1704" s="56"/>
      <c r="E1704" s="124">
        <v>0</v>
      </c>
      <c r="F1704" s="4">
        <v>0</v>
      </c>
      <c r="G1704" s="59">
        <f t="shared" si="38"/>
        <v>0</v>
      </c>
      <c r="K1704" s="93"/>
    </row>
    <row r="1705" spans="2:11" s="38" customFormat="1" ht="49.5" customHeight="1" outlineLevel="1">
      <c r="B1705" s="98"/>
      <c r="C1705" s="132" t="s">
        <v>158</v>
      </c>
      <c r="D1705" s="51"/>
      <c r="E1705" s="112"/>
      <c r="F1705" s="4"/>
      <c r="G1705" s="59">
        <f t="shared" si="38"/>
        <v>0</v>
      </c>
      <c r="K1705" s="93"/>
    </row>
    <row r="1706" spans="2:11" s="38" customFormat="1" ht="53.25" customHeight="1" outlineLevel="1">
      <c r="B1706" s="71" t="s">
        <v>1632</v>
      </c>
      <c r="C1706" s="132" t="s">
        <v>160</v>
      </c>
      <c r="D1706" s="51" t="s">
        <v>140</v>
      </c>
      <c r="E1706" s="112">
        <v>1</v>
      </c>
      <c r="F1706" s="4"/>
      <c r="G1706" s="59">
        <f t="shared" si="38"/>
        <v>0</v>
      </c>
      <c r="K1706" s="100"/>
    </row>
    <row r="1707" spans="2:11" s="38" customFormat="1" ht="47.25" customHeight="1" outlineLevel="1">
      <c r="B1707" s="71" t="s">
        <v>1633</v>
      </c>
      <c r="C1707" s="132" t="s">
        <v>162</v>
      </c>
      <c r="D1707" s="51" t="s">
        <v>140</v>
      </c>
      <c r="E1707" s="112">
        <v>1</v>
      </c>
      <c r="F1707" s="4"/>
      <c r="G1707" s="59">
        <f t="shared" si="38"/>
        <v>0</v>
      </c>
      <c r="K1707" s="100"/>
    </row>
    <row r="1708" spans="2:11" s="38" customFormat="1" ht="57" customHeight="1" outlineLevel="1">
      <c r="B1708" s="71" t="s">
        <v>1634</v>
      </c>
      <c r="C1708" s="132" t="s">
        <v>164</v>
      </c>
      <c r="D1708" s="51" t="s">
        <v>140</v>
      </c>
      <c r="E1708" s="112">
        <v>1</v>
      </c>
      <c r="F1708" s="4"/>
      <c r="G1708" s="59">
        <f t="shared" si="38"/>
        <v>0</v>
      </c>
      <c r="K1708" s="100"/>
    </row>
    <row r="1709" spans="2:11" s="38" customFormat="1" ht="142.5" customHeight="1" outlineLevel="1">
      <c r="B1709" s="71" t="s">
        <v>1635</v>
      </c>
      <c r="C1709" s="132" t="s">
        <v>1636</v>
      </c>
      <c r="D1709" s="51" t="s">
        <v>140</v>
      </c>
      <c r="E1709" s="112">
        <v>1</v>
      </c>
      <c r="F1709" s="4"/>
      <c r="G1709" s="59">
        <f t="shared" si="38"/>
        <v>0</v>
      </c>
      <c r="K1709" s="100"/>
    </row>
    <row r="1710" spans="2:11" s="38" customFormat="1" ht="97.5" customHeight="1" outlineLevel="1">
      <c r="B1710" s="71" t="s">
        <v>1637</v>
      </c>
      <c r="C1710" s="132" t="s">
        <v>1638</v>
      </c>
      <c r="D1710" s="51" t="s">
        <v>140</v>
      </c>
      <c r="E1710" s="112">
        <v>1</v>
      </c>
      <c r="F1710" s="4"/>
      <c r="G1710" s="59">
        <f t="shared" si="38"/>
        <v>0</v>
      </c>
      <c r="K1710" s="100"/>
    </row>
    <row r="1711" spans="2:11" s="38" customFormat="1" ht="67.5" customHeight="1" outlineLevel="1">
      <c r="B1711" s="71" t="s">
        <v>1639</v>
      </c>
      <c r="C1711" s="132" t="s">
        <v>170</v>
      </c>
      <c r="D1711" s="51" t="s">
        <v>140</v>
      </c>
      <c r="E1711" s="112">
        <v>1</v>
      </c>
      <c r="F1711" s="4"/>
      <c r="G1711" s="59">
        <f t="shared" si="38"/>
        <v>0</v>
      </c>
      <c r="K1711" s="100"/>
    </row>
    <row r="1712" spans="2:11" s="38" customFormat="1" ht="68.25" customHeight="1" outlineLevel="1">
      <c r="B1712" s="71" t="s">
        <v>1640</v>
      </c>
      <c r="C1712" s="132" t="s">
        <v>172</v>
      </c>
      <c r="D1712" s="51" t="s">
        <v>140</v>
      </c>
      <c r="E1712" s="112">
        <v>1</v>
      </c>
      <c r="F1712" s="4"/>
      <c r="G1712" s="59">
        <f t="shared" si="38"/>
        <v>0</v>
      </c>
      <c r="K1712" s="100"/>
    </row>
    <row r="1713" spans="2:11" s="38" customFormat="1" ht="58.5" customHeight="1" outlineLevel="1">
      <c r="B1713" s="71" t="s">
        <v>1641</v>
      </c>
      <c r="C1713" s="132" t="s">
        <v>174</v>
      </c>
      <c r="D1713" s="51" t="s">
        <v>140</v>
      </c>
      <c r="E1713" s="112">
        <v>1</v>
      </c>
      <c r="F1713" s="4"/>
      <c r="G1713" s="59">
        <f t="shared" si="38"/>
        <v>0</v>
      </c>
      <c r="K1713" s="100"/>
    </row>
    <row r="1714" spans="2:11" s="38" customFormat="1" ht="64.5" customHeight="1" outlineLevel="1">
      <c r="B1714" s="71" t="s">
        <v>1642</v>
      </c>
      <c r="C1714" s="132" t="s">
        <v>2638</v>
      </c>
      <c r="D1714" s="51" t="s">
        <v>140</v>
      </c>
      <c r="E1714" s="112">
        <v>1</v>
      </c>
      <c r="F1714" s="4"/>
      <c r="G1714" s="59">
        <f t="shared" ref="G1714:G1729" si="39">E1714*F1714</f>
        <v>0</v>
      </c>
      <c r="K1714" s="100"/>
    </row>
    <row r="1715" spans="2:11" s="38" customFormat="1" ht="51.75" customHeight="1" outlineLevel="1">
      <c r="B1715" s="71" t="s">
        <v>1643</v>
      </c>
      <c r="C1715" s="132" t="s">
        <v>177</v>
      </c>
      <c r="D1715" s="51" t="s">
        <v>140</v>
      </c>
      <c r="E1715" s="112">
        <v>1</v>
      </c>
      <c r="F1715" s="4"/>
      <c r="G1715" s="59">
        <f t="shared" si="39"/>
        <v>0</v>
      </c>
      <c r="K1715" s="100"/>
    </row>
    <row r="1716" spans="2:11" s="38" customFormat="1" ht="73.5" customHeight="1" outlineLevel="1">
      <c r="B1716" s="71" t="s">
        <v>1644</v>
      </c>
      <c r="C1716" s="132" t="s">
        <v>179</v>
      </c>
      <c r="D1716" s="51" t="s">
        <v>140</v>
      </c>
      <c r="E1716" s="112">
        <v>1</v>
      </c>
      <c r="F1716" s="4"/>
      <c r="G1716" s="59">
        <f t="shared" si="39"/>
        <v>0</v>
      </c>
      <c r="K1716" s="100"/>
    </row>
    <row r="1717" spans="2:11" s="38" customFormat="1" ht="64.5" customHeight="1" outlineLevel="1">
      <c r="B1717" s="71" t="s">
        <v>1645</v>
      </c>
      <c r="C1717" s="132" t="s">
        <v>181</v>
      </c>
      <c r="D1717" s="51" t="s">
        <v>140</v>
      </c>
      <c r="E1717" s="112">
        <v>1</v>
      </c>
      <c r="F1717" s="4"/>
      <c r="G1717" s="59">
        <f t="shared" si="39"/>
        <v>0</v>
      </c>
      <c r="K1717" s="100"/>
    </row>
    <row r="1718" spans="2:11" s="38" customFormat="1" ht="25.5" outlineLevel="1">
      <c r="B1718" s="71" t="s">
        <v>1646</v>
      </c>
      <c r="C1718" s="132" t="s">
        <v>183</v>
      </c>
      <c r="D1718" s="51" t="s">
        <v>140</v>
      </c>
      <c r="E1718" s="112">
        <v>1</v>
      </c>
      <c r="F1718" s="4"/>
      <c r="G1718" s="59">
        <f t="shared" si="39"/>
        <v>0</v>
      </c>
      <c r="K1718" s="100"/>
    </row>
    <row r="1719" spans="2:11" s="38" customFormat="1" ht="50.25" customHeight="1" outlineLevel="1">
      <c r="B1719" s="71" t="s">
        <v>1647</v>
      </c>
      <c r="C1719" s="132" t="s">
        <v>185</v>
      </c>
      <c r="D1719" s="51" t="s">
        <v>140</v>
      </c>
      <c r="E1719" s="112">
        <v>2</v>
      </c>
      <c r="F1719" s="4">
        <v>0</v>
      </c>
      <c r="G1719" s="59">
        <f t="shared" si="39"/>
        <v>0</v>
      </c>
      <c r="K1719" s="100"/>
    </row>
    <row r="1720" spans="2:11" s="38" customFormat="1" ht="55.5" customHeight="1" outlineLevel="1">
      <c r="B1720" s="71" t="s">
        <v>1648</v>
      </c>
      <c r="C1720" s="132" t="s">
        <v>187</v>
      </c>
      <c r="D1720" s="51" t="s">
        <v>140</v>
      </c>
      <c r="E1720" s="112">
        <v>1</v>
      </c>
      <c r="F1720" s="4">
        <v>0</v>
      </c>
      <c r="G1720" s="59">
        <f t="shared" si="39"/>
        <v>0</v>
      </c>
      <c r="K1720" s="100"/>
    </row>
    <row r="1721" spans="2:11" s="38" customFormat="1" ht="55.5" customHeight="1" outlineLevel="1">
      <c r="B1721" s="71" t="s">
        <v>1649</v>
      </c>
      <c r="C1721" s="132" t="s">
        <v>189</v>
      </c>
      <c r="D1721" s="51" t="s">
        <v>140</v>
      </c>
      <c r="E1721" s="112">
        <v>2</v>
      </c>
      <c r="F1721" s="4">
        <v>0</v>
      </c>
      <c r="G1721" s="59">
        <f t="shared" si="39"/>
        <v>0</v>
      </c>
      <c r="K1721" s="100"/>
    </row>
    <row r="1722" spans="2:11" s="38" customFormat="1" ht="25.5" outlineLevel="1">
      <c r="B1722" s="71" t="s">
        <v>1650</v>
      </c>
      <c r="C1722" s="132" t="s">
        <v>191</v>
      </c>
      <c r="D1722" s="51" t="s">
        <v>140</v>
      </c>
      <c r="E1722" s="112">
        <v>1</v>
      </c>
      <c r="F1722" s="4">
        <v>0</v>
      </c>
      <c r="G1722" s="59">
        <f t="shared" si="39"/>
        <v>0</v>
      </c>
      <c r="K1722" s="100"/>
    </row>
    <row r="1723" spans="2:11" s="38" customFormat="1" ht="51.75" customHeight="1" outlineLevel="1">
      <c r="B1723" s="71" t="s">
        <v>1651</v>
      </c>
      <c r="C1723" s="132" t="s">
        <v>193</v>
      </c>
      <c r="D1723" s="51" t="s">
        <v>140</v>
      </c>
      <c r="E1723" s="112">
        <v>1</v>
      </c>
      <c r="F1723" s="4"/>
      <c r="G1723" s="59">
        <f t="shared" si="39"/>
        <v>0</v>
      </c>
      <c r="K1723" s="100"/>
    </row>
    <row r="1724" spans="2:11" s="38" customFormat="1" ht="153" customHeight="1" outlineLevel="1">
      <c r="B1724" s="71" t="s">
        <v>1652</v>
      </c>
      <c r="C1724" s="132" t="s">
        <v>195</v>
      </c>
      <c r="D1724" s="51" t="s">
        <v>140</v>
      </c>
      <c r="E1724" s="112">
        <v>1</v>
      </c>
      <c r="F1724" s="4">
        <v>0</v>
      </c>
      <c r="G1724" s="59">
        <f t="shared" si="39"/>
        <v>0</v>
      </c>
      <c r="K1724" s="100"/>
    </row>
    <row r="1725" spans="2:11" s="38" customFormat="1" ht="74.25" customHeight="1" outlineLevel="1">
      <c r="B1725" s="71" t="s">
        <v>1653</v>
      </c>
      <c r="C1725" s="132" t="s">
        <v>197</v>
      </c>
      <c r="D1725" s="51" t="s">
        <v>140</v>
      </c>
      <c r="E1725" s="112">
        <v>1</v>
      </c>
      <c r="F1725" s="4"/>
      <c r="G1725" s="59">
        <f t="shared" si="39"/>
        <v>0</v>
      </c>
      <c r="K1725" s="100"/>
    </row>
    <row r="1726" spans="2:11" s="38" customFormat="1" ht="104.25" customHeight="1" outlineLevel="1">
      <c r="B1726" s="71" t="s">
        <v>1654</v>
      </c>
      <c r="C1726" s="132" t="s">
        <v>2636</v>
      </c>
      <c r="D1726" s="51" t="s">
        <v>140</v>
      </c>
      <c r="E1726" s="112">
        <v>1</v>
      </c>
      <c r="F1726" s="4"/>
      <c r="G1726" s="59">
        <f t="shared" si="39"/>
        <v>0</v>
      </c>
      <c r="K1726" s="93"/>
    </row>
    <row r="1727" spans="2:11" s="38" customFormat="1" ht="99" customHeight="1" outlineLevel="1">
      <c r="B1727" s="71" t="s">
        <v>1655</v>
      </c>
      <c r="C1727" s="132" t="s">
        <v>1656</v>
      </c>
      <c r="D1727" s="51" t="s">
        <v>140</v>
      </c>
      <c r="E1727" s="112">
        <v>1</v>
      </c>
      <c r="F1727" s="4"/>
      <c r="G1727" s="59">
        <f t="shared" si="39"/>
        <v>0</v>
      </c>
      <c r="K1727" s="93"/>
    </row>
    <row r="1728" spans="2:11" s="38" customFormat="1" outlineLevel="1">
      <c r="B1728" s="71"/>
      <c r="C1728" s="50"/>
      <c r="D1728" s="51"/>
      <c r="E1728" s="112"/>
      <c r="F1728" s="4"/>
      <c r="G1728" s="59">
        <f t="shared" si="39"/>
        <v>0</v>
      </c>
      <c r="K1728" s="93"/>
    </row>
    <row r="1729" spans="2:11" s="38" customFormat="1">
      <c r="B1729" s="71" t="s">
        <v>1657</v>
      </c>
      <c r="C1729" s="55" t="s">
        <v>202</v>
      </c>
      <c r="D1729" s="56"/>
      <c r="E1729" s="124">
        <v>0</v>
      </c>
      <c r="F1729" s="4"/>
      <c r="G1729" s="59">
        <f t="shared" si="39"/>
        <v>0</v>
      </c>
      <c r="K1729" s="100"/>
    </row>
    <row r="1730" spans="2:11" s="38" customFormat="1" ht="63.75" outlineLevel="1">
      <c r="B1730" s="71" t="s">
        <v>1658</v>
      </c>
      <c r="C1730" s="132" t="s">
        <v>204</v>
      </c>
      <c r="D1730" s="51" t="s">
        <v>84</v>
      </c>
      <c r="E1730" s="112">
        <v>2.78</v>
      </c>
      <c r="F1730" s="4"/>
      <c r="G1730" s="59">
        <f>E1730*F1730</f>
        <v>0</v>
      </c>
      <c r="K1730" s="100"/>
    </row>
    <row r="1731" spans="2:11" s="38" customFormat="1">
      <c r="B1731" s="71"/>
      <c r="C1731" s="55"/>
      <c r="D1731" s="56"/>
      <c r="E1731" s="124"/>
      <c r="F1731" s="4"/>
      <c r="G1731" s="4"/>
      <c r="K1731" s="100"/>
    </row>
    <row r="1732" spans="2:11" s="38" customFormat="1">
      <c r="B1732" s="72" t="s">
        <v>1659</v>
      </c>
      <c r="C1732" s="52"/>
      <c r="D1732" s="15"/>
      <c r="E1732" s="122"/>
      <c r="F1732" s="54"/>
      <c r="G1732" s="58">
        <f>SUM(G1623:G1731)</f>
        <v>0</v>
      </c>
      <c r="K1732" s="93"/>
    </row>
    <row r="1733" spans="2:11" s="38" customFormat="1" outlineLevel="1">
      <c r="B1733" s="71"/>
      <c r="C1733" s="50"/>
      <c r="D1733" s="51"/>
      <c r="E1733" s="112"/>
      <c r="F1733" s="4"/>
      <c r="G1733" s="59"/>
      <c r="K1733" s="100"/>
    </row>
    <row r="1734" spans="2:11" s="38" customFormat="1">
      <c r="B1734" s="114" t="s">
        <v>1660</v>
      </c>
      <c r="C1734" s="52"/>
      <c r="D1734" s="15"/>
      <c r="E1734" s="122"/>
      <c r="F1734" s="54"/>
      <c r="G1734" s="58"/>
      <c r="K1734" s="93"/>
    </row>
    <row r="1735" spans="2:11" s="38" customFormat="1" ht="38.25">
      <c r="B1735" s="116"/>
      <c r="C1735" s="55" t="s">
        <v>207</v>
      </c>
      <c r="D1735" s="11" t="s">
        <v>140</v>
      </c>
      <c r="E1735" s="112">
        <v>1</v>
      </c>
      <c r="F1735" s="13"/>
      <c r="G1735" s="113">
        <f>E1735*G1732</f>
        <v>0</v>
      </c>
      <c r="K1735" s="93"/>
    </row>
    <row r="1736" spans="2:11" s="38" customFormat="1" outlineLevel="1">
      <c r="B1736" s="71"/>
      <c r="C1736" s="50"/>
      <c r="D1736" s="51"/>
      <c r="E1736" s="112"/>
      <c r="F1736" s="4"/>
      <c r="G1736" s="59"/>
      <c r="K1736" s="100"/>
    </row>
    <row r="1737" spans="2:11" s="38" customFormat="1">
      <c r="B1737" s="72">
        <v>3.21</v>
      </c>
      <c r="C1737" s="70" t="s">
        <v>1661</v>
      </c>
      <c r="D1737" s="15"/>
      <c r="E1737" s="122"/>
      <c r="F1737" s="54"/>
      <c r="G1737" s="58"/>
      <c r="K1737" s="93"/>
    </row>
    <row r="1738" spans="2:11" s="38" customFormat="1" ht="12">
      <c r="B1738" s="69"/>
      <c r="C1738" s="7"/>
      <c r="D1738" s="11"/>
      <c r="E1738" s="121"/>
      <c r="F1738" s="4"/>
      <c r="G1738" s="13"/>
      <c r="K1738" s="93"/>
    </row>
    <row r="1739" spans="2:11" s="38" customFormat="1" ht="42.6" hidden="1" customHeight="1">
      <c r="B1739" s="70" t="s">
        <v>1662</v>
      </c>
      <c r="C1739" s="55"/>
      <c r="D1739" s="53"/>
      <c r="E1739" s="123">
        <v>0</v>
      </c>
      <c r="F1739" s="54"/>
      <c r="G1739" s="58"/>
      <c r="K1739" s="93"/>
    </row>
    <row r="1740" spans="2:11" s="38" customFormat="1" ht="42.6" hidden="1" customHeight="1">
      <c r="B1740" s="71" t="s">
        <v>1663</v>
      </c>
      <c r="C1740" s="55" t="s">
        <v>62</v>
      </c>
      <c r="D1740" s="56"/>
      <c r="E1740" s="124">
        <v>0</v>
      </c>
      <c r="F1740" s="13"/>
      <c r="G1740" s="13"/>
      <c r="K1740" s="93"/>
    </row>
    <row r="1741" spans="2:11" s="38" customFormat="1" ht="42.6" hidden="1" customHeight="1" outlineLevel="1">
      <c r="B1741" s="71" t="s">
        <v>32</v>
      </c>
      <c r="C1741" s="50" t="s">
        <v>1664</v>
      </c>
      <c r="D1741" s="51" t="s">
        <v>38</v>
      </c>
      <c r="E1741" s="112">
        <v>1</v>
      </c>
      <c r="F1741" s="4"/>
      <c r="G1741" s="4"/>
      <c r="K1741" s="93"/>
    </row>
    <row r="1742" spans="2:11" s="38" customFormat="1" ht="42.6" hidden="1" customHeight="1" outlineLevel="1">
      <c r="B1742" s="71" t="s">
        <v>39</v>
      </c>
      <c r="C1742" s="50" t="s">
        <v>1665</v>
      </c>
      <c r="D1742" s="51" t="s">
        <v>75</v>
      </c>
      <c r="E1742" s="112">
        <v>12.24</v>
      </c>
      <c r="F1742" s="13"/>
      <c r="G1742" s="13"/>
      <c r="K1742" s="93"/>
    </row>
    <row r="1743" spans="2:11" s="38" customFormat="1" ht="42.6" hidden="1" customHeight="1" outlineLevel="1">
      <c r="B1743" s="71" t="s">
        <v>43</v>
      </c>
      <c r="C1743" s="50" t="s">
        <v>1666</v>
      </c>
      <c r="D1743" s="51" t="s">
        <v>75</v>
      </c>
      <c r="E1743" s="112">
        <v>32.28</v>
      </c>
      <c r="F1743" s="13"/>
      <c r="G1743" s="13"/>
      <c r="K1743" s="93"/>
    </row>
    <row r="1744" spans="2:11" s="38" customFormat="1" ht="42.6" hidden="1" customHeight="1" collapsed="1">
      <c r="B1744" s="71" t="s">
        <v>1667</v>
      </c>
      <c r="C1744" s="55" t="s">
        <v>72</v>
      </c>
      <c r="D1744" s="56"/>
      <c r="E1744" s="124">
        <v>0</v>
      </c>
      <c r="F1744" s="13"/>
      <c r="G1744" s="13"/>
      <c r="K1744" s="93"/>
    </row>
    <row r="1745" spans="2:11" s="38" customFormat="1" ht="42.6" hidden="1" customHeight="1" outlineLevel="1">
      <c r="B1745" s="71" t="s">
        <v>1668</v>
      </c>
      <c r="C1745" s="50" t="s">
        <v>1669</v>
      </c>
      <c r="D1745" s="51" t="s">
        <v>75</v>
      </c>
      <c r="E1745" s="112">
        <v>515.21</v>
      </c>
      <c r="F1745" s="13"/>
      <c r="G1745" s="13">
        <f>E1745*F1745</f>
        <v>0</v>
      </c>
      <c r="K1745" s="93"/>
    </row>
    <row r="1746" spans="2:11" s="38" customFormat="1" ht="42.6" hidden="1" customHeight="1" outlineLevel="1">
      <c r="B1746" s="71" t="s">
        <v>1670</v>
      </c>
      <c r="C1746" s="50" t="s">
        <v>1671</v>
      </c>
      <c r="D1746" s="51" t="s">
        <v>75</v>
      </c>
      <c r="E1746" s="112">
        <v>62.1</v>
      </c>
      <c r="F1746" s="13"/>
      <c r="G1746" s="13">
        <f>E1746*F1746</f>
        <v>0</v>
      </c>
      <c r="K1746" s="93"/>
    </row>
    <row r="1747" spans="2:11" s="38" customFormat="1" ht="42.6" hidden="1" customHeight="1" outlineLevel="1">
      <c r="B1747" s="71" t="s">
        <v>1672</v>
      </c>
      <c r="C1747" s="50" t="s">
        <v>1673</v>
      </c>
      <c r="D1747" s="51" t="s">
        <v>75</v>
      </c>
      <c r="E1747" s="112">
        <f>65.8</f>
        <v>65.8</v>
      </c>
      <c r="F1747" s="13"/>
      <c r="G1747" s="13"/>
      <c r="K1747" s="93"/>
    </row>
    <row r="1748" spans="2:11" s="38" customFormat="1" ht="42.6" hidden="1" customHeight="1" outlineLevel="1">
      <c r="B1748" s="71" t="s">
        <v>1674</v>
      </c>
      <c r="C1748" s="50" t="s">
        <v>1675</v>
      </c>
      <c r="D1748" s="51" t="s">
        <v>75</v>
      </c>
      <c r="E1748" s="112">
        <f>5.3+11.9+22</f>
        <v>39.200000000000003</v>
      </c>
      <c r="F1748" s="13"/>
      <c r="G1748" s="13"/>
      <c r="K1748" s="93"/>
    </row>
    <row r="1749" spans="2:11" s="38" customFormat="1" ht="42.6" hidden="1" customHeight="1" outlineLevel="1">
      <c r="B1749" s="71" t="s">
        <v>1676</v>
      </c>
      <c r="C1749" s="50" t="s">
        <v>1677</v>
      </c>
      <c r="D1749" s="51" t="s">
        <v>75</v>
      </c>
      <c r="E1749" s="112">
        <v>6.3</v>
      </c>
      <c r="F1749" s="13"/>
      <c r="G1749" s="13">
        <f>E1749*F1749</f>
        <v>0</v>
      </c>
      <c r="K1749" s="93"/>
    </row>
    <row r="1750" spans="2:11" s="38" customFormat="1" ht="42.6" hidden="1" customHeight="1" outlineLevel="1">
      <c r="B1750" s="71" t="s">
        <v>1678</v>
      </c>
      <c r="C1750" s="50" t="s">
        <v>1679</v>
      </c>
      <c r="D1750" s="51" t="s">
        <v>75</v>
      </c>
      <c r="E1750" s="112">
        <v>38.04</v>
      </c>
      <c r="F1750" s="13"/>
      <c r="G1750" s="13">
        <f>E1750*F1750</f>
        <v>0</v>
      </c>
      <c r="K1750" s="93"/>
    </row>
    <row r="1751" spans="2:11" s="38" customFormat="1" ht="42.6" hidden="1" customHeight="1" outlineLevel="1">
      <c r="B1751" s="71" t="s">
        <v>1680</v>
      </c>
      <c r="C1751" s="50" t="s">
        <v>1681</v>
      </c>
      <c r="D1751" s="51" t="s">
        <v>75</v>
      </c>
      <c r="E1751" s="112">
        <v>6.3</v>
      </c>
      <c r="G1751" s="13">
        <f>E1751*F1751</f>
        <v>0</v>
      </c>
      <c r="K1751" s="93"/>
    </row>
    <row r="1752" spans="2:11" s="38" customFormat="1" ht="42.6" hidden="1" customHeight="1" outlineLevel="1">
      <c r="B1752" s="71" t="s">
        <v>1682</v>
      </c>
      <c r="C1752" s="50" t="s">
        <v>1683</v>
      </c>
      <c r="D1752" s="51" t="s">
        <v>84</v>
      </c>
      <c r="E1752" s="112">
        <v>47.6</v>
      </c>
      <c r="F1752" s="13"/>
      <c r="G1752" s="13">
        <f>E1752*F1752</f>
        <v>0</v>
      </c>
      <c r="K1752" s="93"/>
    </row>
    <row r="1753" spans="2:11" s="38" customFormat="1" ht="42.6" hidden="1" customHeight="1" outlineLevel="1">
      <c r="B1753" s="109" t="s">
        <v>1684</v>
      </c>
      <c r="C1753" s="50" t="s">
        <v>1685</v>
      </c>
      <c r="D1753" s="110" t="s">
        <v>84</v>
      </c>
      <c r="E1753" s="125">
        <v>138.06</v>
      </c>
      <c r="F1753" s="13"/>
      <c r="G1753" s="13"/>
      <c r="K1753" s="93"/>
    </row>
    <row r="1754" spans="2:11" s="38" customFormat="1" ht="42.6" hidden="1" customHeight="1" outlineLevel="1">
      <c r="B1754" s="71" t="s">
        <v>1686</v>
      </c>
      <c r="C1754" s="50" t="s">
        <v>1687</v>
      </c>
      <c r="D1754" s="51" t="s">
        <v>84</v>
      </c>
      <c r="E1754" s="112">
        <v>88.8</v>
      </c>
      <c r="F1754" s="13"/>
      <c r="G1754" s="13"/>
      <c r="K1754" s="93"/>
    </row>
    <row r="1755" spans="2:11" s="38" customFormat="1" ht="42.6" hidden="1" customHeight="1" outlineLevel="1">
      <c r="B1755" s="109" t="s">
        <v>1688</v>
      </c>
      <c r="C1755" s="50" t="s">
        <v>1689</v>
      </c>
      <c r="D1755" s="110" t="s">
        <v>84</v>
      </c>
      <c r="E1755" s="125">
        <v>25.28</v>
      </c>
      <c r="F1755" s="13"/>
      <c r="G1755" s="13">
        <f>E1755*F1755</f>
        <v>0</v>
      </c>
      <c r="K1755" s="93"/>
    </row>
    <row r="1756" spans="2:11" s="38" customFormat="1" ht="42.6" hidden="1" customHeight="1" outlineLevel="1">
      <c r="B1756" s="71" t="s">
        <v>1690</v>
      </c>
      <c r="C1756" s="50" t="s">
        <v>1691</v>
      </c>
      <c r="D1756" s="51" t="s">
        <v>84</v>
      </c>
      <c r="E1756" s="112">
        <v>7.3</v>
      </c>
      <c r="F1756" s="13"/>
      <c r="G1756" s="13">
        <f>E1756*F1756</f>
        <v>0</v>
      </c>
      <c r="K1756" s="93"/>
    </row>
    <row r="1757" spans="2:11" s="38" customFormat="1" ht="42.6" hidden="1" customHeight="1" outlineLevel="1">
      <c r="B1757" s="71" t="s">
        <v>1692</v>
      </c>
      <c r="C1757" s="50" t="s">
        <v>1693</v>
      </c>
      <c r="D1757" s="51" t="s">
        <v>84</v>
      </c>
      <c r="E1757" s="112">
        <v>10.6</v>
      </c>
      <c r="F1757" s="13"/>
      <c r="G1757" s="13"/>
      <c r="K1757" s="93"/>
    </row>
    <row r="1758" spans="2:11" s="38" customFormat="1" ht="42.6" hidden="1" customHeight="1" outlineLevel="1">
      <c r="B1758" s="71" t="s">
        <v>1694</v>
      </c>
      <c r="C1758" s="50" t="s">
        <v>1695</v>
      </c>
      <c r="D1758" s="51" t="s">
        <v>75</v>
      </c>
      <c r="E1758" s="112">
        <v>1.2</v>
      </c>
      <c r="F1758" s="13"/>
      <c r="G1758" s="13"/>
      <c r="K1758" s="93"/>
    </row>
    <row r="1759" spans="2:11" s="38" customFormat="1" ht="42.6" hidden="1" customHeight="1" outlineLevel="1">
      <c r="B1759" s="71" t="s">
        <v>1696</v>
      </c>
      <c r="C1759" s="50" t="s">
        <v>1697</v>
      </c>
      <c r="D1759" s="51" t="s">
        <v>84</v>
      </c>
      <c r="E1759" s="112">
        <v>2.2000000000000002</v>
      </c>
      <c r="F1759" s="13"/>
      <c r="G1759" s="13"/>
      <c r="K1759" s="93"/>
    </row>
    <row r="1760" spans="2:11" s="38" customFormat="1" ht="42.6" hidden="1" customHeight="1" outlineLevel="1">
      <c r="B1760" s="71" t="s">
        <v>1698</v>
      </c>
      <c r="C1760" s="50" t="s">
        <v>1699</v>
      </c>
      <c r="D1760" s="51" t="s">
        <v>75</v>
      </c>
      <c r="E1760" s="112">
        <f>E1758</f>
        <v>1.2</v>
      </c>
      <c r="F1760" s="13"/>
      <c r="G1760" s="13"/>
      <c r="K1760" s="93"/>
    </row>
    <row r="1761" spans="2:11" s="38" customFormat="1" ht="42.6" hidden="1" customHeight="1" outlineLevel="1">
      <c r="B1761" s="71" t="s">
        <v>1700</v>
      </c>
      <c r="C1761" s="50" t="s">
        <v>1701</v>
      </c>
      <c r="D1761" s="51" t="s">
        <v>84</v>
      </c>
      <c r="E1761" s="112">
        <v>5.6</v>
      </c>
      <c r="F1761" s="13"/>
      <c r="G1761" s="13"/>
      <c r="K1761" s="93"/>
    </row>
    <row r="1762" spans="2:11" s="38" customFormat="1" ht="42.6" hidden="1" customHeight="1" outlineLevel="1">
      <c r="B1762" s="109" t="s">
        <v>1702</v>
      </c>
      <c r="C1762" s="50" t="s">
        <v>1703</v>
      </c>
      <c r="D1762" s="110" t="s">
        <v>75</v>
      </c>
      <c r="E1762" s="125">
        <v>22.4</v>
      </c>
      <c r="F1762" s="13"/>
      <c r="G1762" s="13"/>
      <c r="K1762" s="93"/>
    </row>
    <row r="1763" spans="2:11" s="38" customFormat="1" ht="42.6" hidden="1" customHeight="1" outlineLevel="1">
      <c r="B1763" s="71" t="s">
        <v>1704</v>
      </c>
      <c r="C1763" s="50" t="s">
        <v>1705</v>
      </c>
      <c r="D1763" s="51" t="s">
        <v>75</v>
      </c>
      <c r="E1763" s="112">
        <v>12.09</v>
      </c>
      <c r="F1763" s="13"/>
      <c r="G1763" s="13"/>
      <c r="K1763" s="93"/>
    </row>
    <row r="1764" spans="2:11" s="38" customFormat="1" ht="42.6" hidden="1" customHeight="1" outlineLevel="1">
      <c r="B1764" s="71" t="s">
        <v>1706</v>
      </c>
      <c r="C1764" s="50" t="s">
        <v>1707</v>
      </c>
      <c r="D1764" s="51" t="s">
        <v>84</v>
      </c>
      <c r="E1764" s="112">
        <v>9.82</v>
      </c>
      <c r="F1764" s="13"/>
      <c r="G1764" s="13"/>
      <c r="K1764" s="93"/>
    </row>
    <row r="1765" spans="2:11" s="38" customFormat="1" ht="42.6" hidden="1" customHeight="1" outlineLevel="1">
      <c r="B1765" s="71" t="s">
        <v>1708</v>
      </c>
      <c r="C1765" s="50" t="s">
        <v>1709</v>
      </c>
      <c r="D1765" s="51" t="s">
        <v>84</v>
      </c>
      <c r="E1765" s="112">
        <f>0.85+0.85</f>
        <v>1.7</v>
      </c>
      <c r="F1765" s="13"/>
      <c r="G1765" s="13"/>
      <c r="K1765" s="93"/>
    </row>
    <row r="1766" spans="2:11" s="38" customFormat="1" ht="42.6" hidden="1" customHeight="1" outlineLevel="1">
      <c r="B1766" s="71" t="s">
        <v>1710</v>
      </c>
      <c r="C1766" s="50" t="s">
        <v>1711</v>
      </c>
      <c r="D1766" s="51" t="s">
        <v>75</v>
      </c>
      <c r="E1766" s="112">
        <v>9.4</v>
      </c>
      <c r="F1766" s="13"/>
      <c r="G1766" s="4">
        <f>E1766*F1766</f>
        <v>0</v>
      </c>
      <c r="I1766" s="71"/>
      <c r="J1766" s="50"/>
      <c r="K1766" s="95"/>
    </row>
    <row r="1767" spans="2:11" s="38" customFormat="1" ht="42.6" hidden="1" customHeight="1" outlineLevel="1">
      <c r="B1767" s="109" t="s">
        <v>1712</v>
      </c>
      <c r="C1767" s="50" t="s">
        <v>1713</v>
      </c>
      <c r="D1767" s="110" t="s">
        <v>1714</v>
      </c>
      <c r="E1767" s="125">
        <v>1.3</v>
      </c>
      <c r="F1767" s="13"/>
      <c r="G1767" s="4"/>
      <c r="I1767" s="71"/>
      <c r="J1767" s="50"/>
      <c r="K1767" s="95"/>
    </row>
    <row r="1768" spans="2:11" s="38" customFormat="1" ht="42.6" hidden="1" customHeight="1" collapsed="1">
      <c r="B1768" s="71" t="s">
        <v>1715</v>
      </c>
      <c r="C1768" s="55" t="s">
        <v>93</v>
      </c>
      <c r="D1768" s="56"/>
      <c r="E1768" s="124">
        <v>0</v>
      </c>
      <c r="F1768" s="13"/>
      <c r="G1768" s="13"/>
      <c r="K1768" s="93"/>
    </row>
    <row r="1769" spans="2:11" s="38" customFormat="1" ht="42.6" hidden="1" customHeight="1" outlineLevel="1">
      <c r="B1769" s="109" t="s">
        <v>1716</v>
      </c>
      <c r="C1769" s="50" t="s">
        <v>1717</v>
      </c>
      <c r="D1769" s="110" t="s">
        <v>75</v>
      </c>
      <c r="E1769" s="125">
        <v>7.81</v>
      </c>
      <c r="F1769" s="13"/>
      <c r="G1769" s="13"/>
      <c r="K1769" s="104"/>
    </row>
    <row r="1770" spans="2:11" s="38" customFormat="1" ht="42.6" hidden="1" customHeight="1" outlineLevel="1">
      <c r="B1770" s="109" t="s">
        <v>1718</v>
      </c>
      <c r="C1770" s="50" t="s">
        <v>1719</v>
      </c>
      <c r="D1770" s="111" t="s">
        <v>75</v>
      </c>
      <c r="E1770" s="125">
        <v>8.7899999999999991</v>
      </c>
      <c r="F1770" s="13"/>
      <c r="G1770" s="13"/>
      <c r="K1770" s="93"/>
    </row>
    <row r="1771" spans="2:11" s="38" customFormat="1" ht="42.6" hidden="1" customHeight="1" outlineLevel="1">
      <c r="B1771" s="71" t="s">
        <v>1720</v>
      </c>
      <c r="C1771" s="50" t="s">
        <v>1721</v>
      </c>
      <c r="D1771" s="101" t="s">
        <v>75</v>
      </c>
      <c r="E1771" s="112">
        <v>67.97</v>
      </c>
      <c r="F1771" s="13"/>
      <c r="G1771" s="13"/>
      <c r="K1771" s="104"/>
    </row>
    <row r="1772" spans="2:11" s="38" customFormat="1" ht="42.6" hidden="1" customHeight="1" outlineLevel="1">
      <c r="B1772" s="71" t="s">
        <v>1722</v>
      </c>
      <c r="C1772" s="50" t="s">
        <v>1723</v>
      </c>
      <c r="D1772" s="51" t="s">
        <v>75</v>
      </c>
      <c r="E1772" s="112">
        <v>196.05</v>
      </c>
      <c r="F1772" s="13"/>
      <c r="G1772" s="13"/>
      <c r="K1772" s="93"/>
    </row>
    <row r="1773" spans="2:11" s="38" customFormat="1" ht="42.6" hidden="1" customHeight="1" outlineLevel="1">
      <c r="B1773" s="71" t="s">
        <v>1724</v>
      </c>
      <c r="C1773" s="50" t="s">
        <v>1725</v>
      </c>
      <c r="D1773" s="51" t="s">
        <v>75</v>
      </c>
      <c r="E1773" s="112">
        <v>3.4</v>
      </c>
      <c r="F1773" s="13"/>
      <c r="G1773" s="13"/>
      <c r="K1773" s="93"/>
    </row>
    <row r="1774" spans="2:11" s="38" customFormat="1" ht="42.6" hidden="1" customHeight="1" outlineLevel="1">
      <c r="B1774" s="71" t="s">
        <v>1726</v>
      </c>
      <c r="C1774" s="50" t="s">
        <v>1727</v>
      </c>
      <c r="D1774" s="51" t="s">
        <v>75</v>
      </c>
      <c r="E1774" s="112">
        <v>7.95</v>
      </c>
      <c r="F1774" s="13"/>
      <c r="G1774" s="13"/>
      <c r="K1774" s="100"/>
    </row>
    <row r="1775" spans="2:11" s="38" customFormat="1" ht="42.6" hidden="1" customHeight="1" outlineLevel="1">
      <c r="B1775" s="71" t="s">
        <v>1728</v>
      </c>
      <c r="C1775" s="50" t="s">
        <v>1729</v>
      </c>
      <c r="D1775" s="51" t="s">
        <v>75</v>
      </c>
      <c r="E1775" s="112">
        <v>28.47</v>
      </c>
      <c r="F1775" s="13"/>
      <c r="G1775" s="13"/>
      <c r="K1775" s="50"/>
    </row>
    <row r="1776" spans="2:11" s="38" customFormat="1" ht="42.6" hidden="1" customHeight="1" outlineLevel="1">
      <c r="B1776" s="71" t="s">
        <v>1730</v>
      </c>
      <c r="C1776" s="50" t="s">
        <v>1731</v>
      </c>
      <c r="D1776" s="51" t="s">
        <v>75</v>
      </c>
      <c r="E1776" s="112">
        <v>27.65</v>
      </c>
      <c r="F1776" s="13"/>
      <c r="G1776" s="13"/>
      <c r="K1776" s="100"/>
    </row>
    <row r="1777" spans="2:11" s="38" customFormat="1" ht="42.6" hidden="1" customHeight="1" outlineLevel="1">
      <c r="B1777" s="71" t="s">
        <v>1732</v>
      </c>
      <c r="C1777" s="50" t="s">
        <v>1733</v>
      </c>
      <c r="D1777" s="51" t="s">
        <v>75</v>
      </c>
      <c r="E1777" s="112">
        <v>36.72</v>
      </c>
      <c r="F1777" s="13"/>
      <c r="G1777" s="13"/>
      <c r="K1777" s="100"/>
    </row>
    <row r="1778" spans="2:11" s="38" customFormat="1" ht="42.6" hidden="1" customHeight="1" outlineLevel="1">
      <c r="B1778" s="71" t="s">
        <v>1734</v>
      </c>
      <c r="C1778" s="50" t="s">
        <v>1735</v>
      </c>
      <c r="D1778" s="51" t="s">
        <v>75</v>
      </c>
      <c r="E1778" s="112">
        <v>7.83</v>
      </c>
      <c r="F1778" s="13"/>
      <c r="G1778" s="13"/>
      <c r="K1778" s="100"/>
    </row>
    <row r="1779" spans="2:11" s="38" customFormat="1" ht="42.6" hidden="1" customHeight="1" outlineLevel="1">
      <c r="B1779" s="71" t="s">
        <v>1736</v>
      </c>
      <c r="C1779" s="50" t="s">
        <v>1737</v>
      </c>
      <c r="D1779" s="51" t="s">
        <v>75</v>
      </c>
      <c r="E1779" s="112">
        <v>13.05</v>
      </c>
      <c r="F1779" s="13"/>
      <c r="G1779" s="13"/>
      <c r="K1779" s="93"/>
    </row>
    <row r="1780" spans="2:11" s="38" customFormat="1" ht="42.6" hidden="1" customHeight="1" outlineLevel="1">
      <c r="B1780" s="109" t="s">
        <v>1738</v>
      </c>
      <c r="C1780" s="50" t="s">
        <v>1739</v>
      </c>
      <c r="D1780" s="110" t="s">
        <v>75</v>
      </c>
      <c r="E1780" s="125">
        <v>19.41</v>
      </c>
      <c r="F1780" s="13"/>
      <c r="G1780" s="13"/>
      <c r="K1780" s="93"/>
    </row>
    <row r="1781" spans="2:11" s="38" customFormat="1" ht="42.6" hidden="1" customHeight="1" outlineLevel="1">
      <c r="B1781" s="71" t="s">
        <v>1740</v>
      </c>
      <c r="C1781" s="50" t="s">
        <v>1741</v>
      </c>
      <c r="D1781" s="51" t="s">
        <v>75</v>
      </c>
      <c r="E1781" s="112">
        <v>62.93</v>
      </c>
      <c r="F1781" s="13"/>
      <c r="G1781" s="13"/>
      <c r="K1781" s="93"/>
    </row>
    <row r="1782" spans="2:11" s="38" customFormat="1" ht="42.6" hidden="1" customHeight="1" outlineLevel="1">
      <c r="B1782" s="71" t="s">
        <v>1742</v>
      </c>
      <c r="C1782" s="50" t="s">
        <v>1743</v>
      </c>
      <c r="D1782" s="51" t="s">
        <v>75</v>
      </c>
      <c r="E1782" s="112">
        <v>30.84</v>
      </c>
      <c r="F1782" s="13"/>
      <c r="G1782" s="13"/>
      <c r="K1782" s="93"/>
    </row>
    <row r="1783" spans="2:11" s="38" customFormat="1" ht="42.6" hidden="1" customHeight="1" outlineLevel="1">
      <c r="B1783" s="71" t="s">
        <v>1744</v>
      </c>
      <c r="C1783" s="50" t="s">
        <v>1745</v>
      </c>
      <c r="D1783" s="51" t="s">
        <v>75</v>
      </c>
      <c r="E1783" s="112">
        <v>61.48</v>
      </c>
      <c r="F1783" s="13"/>
      <c r="G1783" s="13"/>
      <c r="K1783" s="93"/>
    </row>
    <row r="1784" spans="2:11" s="38" customFormat="1" ht="42.6" hidden="1" customHeight="1" outlineLevel="1">
      <c r="B1784" s="71" t="s">
        <v>1746</v>
      </c>
      <c r="C1784" s="50" t="s">
        <v>1747</v>
      </c>
      <c r="D1784" s="51" t="s">
        <v>75</v>
      </c>
      <c r="E1784" s="112">
        <v>54.9</v>
      </c>
      <c r="F1784" s="13"/>
      <c r="G1784" s="13">
        <f>E1784*F1784</f>
        <v>0</v>
      </c>
      <c r="K1784" s="93"/>
    </row>
    <row r="1785" spans="2:11" s="38" customFormat="1" ht="42.6" hidden="1" customHeight="1" outlineLevel="1">
      <c r="B1785" s="71" t="s">
        <v>1748</v>
      </c>
      <c r="C1785" s="50" t="s">
        <v>1749</v>
      </c>
      <c r="D1785" s="51" t="s">
        <v>75</v>
      </c>
      <c r="E1785" s="112">
        <v>12.01</v>
      </c>
      <c r="F1785" s="13"/>
      <c r="G1785" s="13">
        <f>E1785*F1785</f>
        <v>0</v>
      </c>
      <c r="K1785" s="93"/>
    </row>
    <row r="1786" spans="2:11" s="38" customFormat="1" ht="42.6" hidden="1" customHeight="1" outlineLevel="1">
      <c r="B1786" s="109" t="s">
        <v>1750</v>
      </c>
      <c r="C1786" s="50" t="s">
        <v>1751</v>
      </c>
      <c r="D1786" s="110" t="s">
        <v>75</v>
      </c>
      <c r="E1786" s="125">
        <v>51.5</v>
      </c>
      <c r="F1786" s="13"/>
      <c r="G1786" s="13"/>
      <c r="K1786" s="93"/>
    </row>
    <row r="1787" spans="2:11" s="38" customFormat="1" ht="42.6" hidden="1" customHeight="1" outlineLevel="1">
      <c r="B1787" s="71" t="s">
        <v>1752</v>
      </c>
      <c r="C1787" s="50" t="s">
        <v>1753</v>
      </c>
      <c r="D1787" s="51" t="s">
        <v>75</v>
      </c>
      <c r="E1787" s="112">
        <v>11.09</v>
      </c>
      <c r="F1787" s="13"/>
      <c r="G1787" s="13"/>
      <c r="K1787" s="93"/>
    </row>
    <row r="1788" spans="2:11" s="38" customFormat="1" ht="42.6" hidden="1" customHeight="1" outlineLevel="1">
      <c r="B1788" s="109" t="s">
        <v>1754</v>
      </c>
      <c r="C1788" s="50" t="s">
        <v>1755</v>
      </c>
      <c r="D1788" s="110" t="s">
        <v>75</v>
      </c>
      <c r="E1788" s="125">
        <v>499.13</v>
      </c>
      <c r="F1788" s="13"/>
      <c r="G1788" s="13"/>
      <c r="K1788" s="93"/>
    </row>
    <row r="1789" spans="2:11" s="38" customFormat="1" ht="42.6" hidden="1" customHeight="1" outlineLevel="1">
      <c r="B1789" s="71" t="s">
        <v>1756</v>
      </c>
      <c r="C1789" s="50" t="s">
        <v>1757</v>
      </c>
      <c r="D1789" s="51" t="s">
        <v>75</v>
      </c>
      <c r="E1789" s="112">
        <v>21.17</v>
      </c>
      <c r="F1789" s="13"/>
      <c r="G1789" s="13"/>
      <c r="J1789" s="37"/>
      <c r="K1789" s="93"/>
    </row>
    <row r="1790" spans="2:11" s="38" customFormat="1" ht="42.6" hidden="1" customHeight="1" outlineLevel="1">
      <c r="B1790" s="109" t="s">
        <v>1758</v>
      </c>
      <c r="C1790" s="50" t="s">
        <v>1759</v>
      </c>
      <c r="D1790" s="110" t="s">
        <v>75</v>
      </c>
      <c r="E1790" s="125">
        <v>64.209999999999994</v>
      </c>
      <c r="F1790" s="13"/>
      <c r="G1790" s="13">
        <f>E1790*F1790</f>
        <v>0</v>
      </c>
      <c r="K1790" s="93"/>
    </row>
    <row r="1791" spans="2:11" s="38" customFormat="1" ht="42.6" hidden="1" customHeight="1" outlineLevel="1">
      <c r="B1791" s="71" t="s">
        <v>1760</v>
      </c>
      <c r="C1791" s="50" t="s">
        <v>1761</v>
      </c>
      <c r="D1791" s="51" t="s">
        <v>75</v>
      </c>
      <c r="E1791" s="112">
        <v>139.05000000000001</v>
      </c>
      <c r="F1791" s="13"/>
      <c r="G1791" s="13"/>
      <c r="K1791" s="93"/>
    </row>
    <row r="1792" spans="2:11" s="38" customFormat="1" ht="42.6" hidden="1" customHeight="1" outlineLevel="1">
      <c r="B1792" s="71" t="s">
        <v>1762</v>
      </c>
      <c r="C1792" s="50" t="s">
        <v>1763</v>
      </c>
      <c r="D1792" s="51" t="s">
        <v>75</v>
      </c>
      <c r="E1792" s="112">
        <v>37.909999999999997</v>
      </c>
      <c r="F1792" s="13"/>
      <c r="G1792" s="13"/>
      <c r="K1792" s="93"/>
    </row>
    <row r="1793" spans="2:11" s="38" customFormat="1" ht="42.6" hidden="1" customHeight="1" outlineLevel="1">
      <c r="B1793" s="109" t="s">
        <v>1764</v>
      </c>
      <c r="C1793" s="50" t="s">
        <v>1765</v>
      </c>
      <c r="D1793" s="110" t="s">
        <v>75</v>
      </c>
      <c r="E1793" s="125">
        <v>8.24</v>
      </c>
      <c r="F1793" s="13"/>
      <c r="G1793" s="13"/>
      <c r="K1793" s="93"/>
    </row>
    <row r="1794" spans="2:11" s="38" customFormat="1" ht="42.6" hidden="1" customHeight="1" outlineLevel="1">
      <c r="B1794" s="71" t="s">
        <v>1766</v>
      </c>
      <c r="C1794" s="50" t="s">
        <v>1767</v>
      </c>
      <c r="D1794" s="51" t="s">
        <v>75</v>
      </c>
      <c r="E1794" s="112">
        <v>36.25</v>
      </c>
      <c r="F1794" s="13"/>
      <c r="G1794" s="13">
        <f>E1794*F1794</f>
        <v>0</v>
      </c>
      <c r="K1794" s="93"/>
    </row>
    <row r="1795" spans="2:11" s="38" customFormat="1" ht="42.6" hidden="1" customHeight="1" outlineLevel="1">
      <c r="B1795" s="71" t="s">
        <v>1768</v>
      </c>
      <c r="C1795" s="50" t="s">
        <v>1769</v>
      </c>
      <c r="D1795" s="51" t="s">
        <v>75</v>
      </c>
      <c r="E1795" s="112">
        <v>62.1</v>
      </c>
      <c r="F1795" s="13"/>
      <c r="G1795" s="13"/>
      <c r="K1795" s="93"/>
    </row>
    <row r="1796" spans="2:11" s="38" customFormat="1" ht="42.6" hidden="1" customHeight="1" outlineLevel="1">
      <c r="B1796" s="71" t="s">
        <v>1770</v>
      </c>
      <c r="C1796" s="50" t="s">
        <v>1771</v>
      </c>
      <c r="D1796" s="51" t="s">
        <v>75</v>
      </c>
      <c r="E1796" s="112">
        <v>19.98</v>
      </c>
      <c r="F1796" s="13"/>
      <c r="G1796" s="13"/>
      <c r="K1796" s="93"/>
    </row>
    <row r="1797" spans="2:11" s="38" customFormat="1" ht="42.6" hidden="1" customHeight="1" outlineLevel="1">
      <c r="B1797" s="71" t="s">
        <v>1772</v>
      </c>
      <c r="C1797" s="50" t="s">
        <v>1773</v>
      </c>
      <c r="D1797" s="51" t="s">
        <v>140</v>
      </c>
      <c r="E1797" s="112">
        <v>2</v>
      </c>
      <c r="F1797" s="13"/>
      <c r="G1797" s="13">
        <f>E1797*F1797</f>
        <v>0</v>
      </c>
      <c r="K1797" s="93"/>
    </row>
    <row r="1798" spans="2:11" s="38" customFormat="1" ht="42.6" hidden="1" customHeight="1" outlineLevel="1">
      <c r="B1798" s="71" t="s">
        <v>1774</v>
      </c>
      <c r="C1798" s="50" t="s">
        <v>1775</v>
      </c>
      <c r="D1798" s="51" t="s">
        <v>140</v>
      </c>
      <c r="E1798" s="112">
        <v>1</v>
      </c>
      <c r="F1798" s="13"/>
      <c r="G1798" s="13">
        <f>E1798*F1798</f>
        <v>0</v>
      </c>
      <c r="K1798" s="93"/>
    </row>
    <row r="1799" spans="2:11" s="38" customFormat="1" ht="42.6" hidden="1" customHeight="1" outlineLevel="1">
      <c r="B1799" s="71" t="s">
        <v>1776</v>
      </c>
      <c r="C1799" s="50" t="s">
        <v>1777</v>
      </c>
      <c r="D1799" s="51" t="s">
        <v>140</v>
      </c>
      <c r="E1799" s="112">
        <v>1</v>
      </c>
      <c r="F1799" s="13"/>
      <c r="G1799" s="13">
        <f>E1799*F1799</f>
        <v>0</v>
      </c>
      <c r="K1799" s="93"/>
    </row>
    <row r="1800" spans="2:11" s="38" customFormat="1" ht="42.6" hidden="1" customHeight="1" outlineLevel="1">
      <c r="B1800" s="71" t="s">
        <v>1778</v>
      </c>
      <c r="C1800" s="50" t="s">
        <v>1779</v>
      </c>
      <c r="D1800" s="51" t="s">
        <v>75</v>
      </c>
      <c r="E1800" s="112">
        <v>8.1999999999999993</v>
      </c>
      <c r="F1800" s="13"/>
      <c r="G1800" s="13"/>
      <c r="K1800" s="93"/>
    </row>
    <row r="1801" spans="2:11" s="38" customFormat="1" ht="42.6" hidden="1" customHeight="1" outlineLevel="1">
      <c r="B1801" s="71" t="s">
        <v>1780</v>
      </c>
      <c r="C1801" s="50" t="s">
        <v>1781</v>
      </c>
      <c r="D1801" s="51" t="s">
        <v>75</v>
      </c>
      <c r="E1801" s="112">
        <v>4.21</v>
      </c>
      <c r="F1801" s="85"/>
      <c r="G1801" s="13"/>
      <c r="K1801" s="93"/>
    </row>
    <row r="1802" spans="2:11" s="38" customFormat="1" ht="42.6" hidden="1" customHeight="1" outlineLevel="1">
      <c r="B1802" s="71" t="s">
        <v>1782</v>
      </c>
      <c r="C1802" s="50" t="s">
        <v>1783</v>
      </c>
      <c r="D1802" s="51" t="s">
        <v>75</v>
      </c>
      <c r="E1802" s="112">
        <v>70.59</v>
      </c>
      <c r="F1802" s="85"/>
      <c r="G1802" s="13"/>
      <c r="K1802" s="93"/>
    </row>
    <row r="1803" spans="2:11" s="38" customFormat="1" ht="42.6" hidden="1" customHeight="1" outlineLevel="1">
      <c r="B1803" s="71" t="s">
        <v>1784</v>
      </c>
      <c r="C1803" s="50" t="s">
        <v>1785</v>
      </c>
      <c r="D1803" s="51" t="s">
        <v>75</v>
      </c>
      <c r="E1803" s="112">
        <v>16</v>
      </c>
      <c r="F1803" s="85"/>
      <c r="G1803" s="13"/>
      <c r="K1803" s="93"/>
    </row>
    <row r="1804" spans="2:11" s="38" customFormat="1" ht="42.6" hidden="1" customHeight="1" outlineLevel="1">
      <c r="B1804" s="71" t="s">
        <v>1786</v>
      </c>
      <c r="C1804" s="50" t="s">
        <v>1787</v>
      </c>
      <c r="D1804" s="51" t="s">
        <v>75</v>
      </c>
      <c r="E1804" s="112">
        <v>21.55</v>
      </c>
      <c r="F1804" s="85"/>
      <c r="G1804" s="13"/>
      <c r="K1804" s="93"/>
    </row>
    <row r="1805" spans="2:11" s="38" customFormat="1" ht="42.6" hidden="1" customHeight="1" outlineLevel="1">
      <c r="B1805" s="109" t="s">
        <v>1788</v>
      </c>
      <c r="C1805" s="50" t="s">
        <v>1789</v>
      </c>
      <c r="D1805" s="110" t="s">
        <v>75</v>
      </c>
      <c r="E1805" s="125">
        <v>91.15</v>
      </c>
      <c r="F1805" s="85"/>
      <c r="G1805" s="13"/>
      <c r="K1805" s="93"/>
    </row>
    <row r="1806" spans="2:11" s="38" customFormat="1" ht="42.6" hidden="1" customHeight="1" outlineLevel="1">
      <c r="B1806" s="109" t="s">
        <v>1790</v>
      </c>
      <c r="C1806" s="50" t="s">
        <v>1791</v>
      </c>
      <c r="D1806" s="110" t="s">
        <v>75</v>
      </c>
      <c r="E1806" s="125">
        <v>23</v>
      </c>
      <c r="F1806" s="85"/>
      <c r="G1806" s="13"/>
      <c r="K1806" s="93"/>
    </row>
    <row r="1807" spans="2:11" s="38" customFormat="1" ht="42.6" hidden="1" customHeight="1" collapsed="1">
      <c r="B1807" s="71" t="s">
        <v>1792</v>
      </c>
      <c r="C1807" s="55" t="s">
        <v>123</v>
      </c>
      <c r="D1807" s="56"/>
      <c r="E1807" s="124">
        <v>0</v>
      </c>
      <c r="F1807" s="13"/>
      <c r="G1807" s="13"/>
      <c r="K1807" s="93"/>
    </row>
    <row r="1808" spans="2:11" s="38" customFormat="1" ht="42.6" hidden="1" customHeight="1" outlineLevel="1">
      <c r="B1808" s="109" t="s">
        <v>1793</v>
      </c>
      <c r="C1808" s="50" t="s">
        <v>1794</v>
      </c>
      <c r="D1808" s="110" t="s">
        <v>75</v>
      </c>
      <c r="E1808" s="125">
        <v>538</v>
      </c>
      <c r="F1808" s="13"/>
      <c r="G1808" s="13"/>
      <c r="K1808" s="93"/>
    </row>
    <row r="1809" spans="2:11" s="38" customFormat="1" ht="42.6" hidden="1" customHeight="1" outlineLevel="1">
      <c r="B1809" s="109" t="s">
        <v>1795</v>
      </c>
      <c r="C1809" s="50" t="s">
        <v>1796</v>
      </c>
      <c r="D1809" s="110" t="s">
        <v>75</v>
      </c>
      <c r="E1809" s="125">
        <v>84.02</v>
      </c>
      <c r="F1809" s="13"/>
      <c r="G1809" s="13"/>
      <c r="K1809" s="93"/>
    </row>
    <row r="1810" spans="2:11" s="38" customFormat="1" ht="42.6" hidden="1" customHeight="1" outlineLevel="1">
      <c r="B1810" s="109" t="s">
        <v>1797</v>
      </c>
      <c r="C1810" s="50" t="s">
        <v>1798</v>
      </c>
      <c r="D1810" s="110" t="s">
        <v>75</v>
      </c>
      <c r="E1810" s="125">
        <v>63.41</v>
      </c>
      <c r="F1810" s="13"/>
      <c r="G1810" s="13"/>
      <c r="K1810" s="93"/>
    </row>
    <row r="1811" spans="2:11" s="38" customFormat="1" ht="42.6" hidden="1" customHeight="1" outlineLevel="1">
      <c r="B1811" s="71" t="s">
        <v>1799</v>
      </c>
      <c r="C1811" s="50" t="s">
        <v>1800</v>
      </c>
      <c r="D1811" s="51" t="s">
        <v>75</v>
      </c>
      <c r="E1811" s="112">
        <v>74.8</v>
      </c>
      <c r="F1811" s="13"/>
      <c r="G1811" s="13">
        <f>E1811*F1811</f>
        <v>0</v>
      </c>
      <c r="K1811" s="93"/>
    </row>
    <row r="1812" spans="2:11" s="38" customFormat="1" ht="42.6" hidden="1" customHeight="1" outlineLevel="1">
      <c r="B1812" s="71" t="s">
        <v>1801</v>
      </c>
      <c r="C1812" s="50" t="s">
        <v>1802</v>
      </c>
      <c r="D1812" s="51" t="s">
        <v>75</v>
      </c>
      <c r="E1812" s="112">
        <v>12.72</v>
      </c>
      <c r="F1812" s="13"/>
      <c r="G1812" s="13">
        <f>E1812*F1812</f>
        <v>0</v>
      </c>
      <c r="K1812" s="93"/>
    </row>
    <row r="1813" spans="2:11" s="38" customFormat="1" ht="42.6" hidden="1" customHeight="1" outlineLevel="1">
      <c r="B1813" s="71" t="s">
        <v>1803</v>
      </c>
      <c r="C1813" s="50" t="s">
        <v>1804</v>
      </c>
      <c r="D1813" s="51" t="s">
        <v>75</v>
      </c>
      <c r="E1813" s="112">
        <v>39.85</v>
      </c>
      <c r="F1813" s="13"/>
      <c r="G1813" s="13"/>
      <c r="K1813" s="93"/>
    </row>
    <row r="1814" spans="2:11" s="38" customFormat="1" ht="42.6" hidden="1" customHeight="1" outlineLevel="1">
      <c r="B1814" s="71" t="s">
        <v>1805</v>
      </c>
      <c r="C1814" s="50" t="s">
        <v>1806</v>
      </c>
      <c r="D1814" s="51" t="s">
        <v>75</v>
      </c>
      <c r="E1814" s="112">
        <v>8.56</v>
      </c>
      <c r="F1814" s="13"/>
      <c r="G1814" s="13">
        <f>E1814*F1814</f>
        <v>0</v>
      </c>
      <c r="K1814" s="93"/>
    </row>
    <row r="1815" spans="2:11" s="38" customFormat="1" ht="42.6" hidden="1" customHeight="1" outlineLevel="1">
      <c r="B1815" s="71" t="s">
        <v>1807</v>
      </c>
      <c r="C1815" s="50" t="s">
        <v>1808</v>
      </c>
      <c r="D1815" s="51" t="s">
        <v>75</v>
      </c>
      <c r="E1815" s="112">
        <f>E1808+E1813</f>
        <v>577.85</v>
      </c>
      <c r="F1815" s="13"/>
      <c r="G1815" s="13"/>
      <c r="K1815" s="93"/>
    </row>
    <row r="1816" spans="2:11" s="38" customFormat="1" ht="42.6" hidden="1" customHeight="1" outlineLevel="1">
      <c r="B1816" s="71" t="s">
        <v>1809</v>
      </c>
      <c r="C1816" s="50" t="s">
        <v>1810</v>
      </c>
      <c r="D1816" s="51" t="s">
        <v>75</v>
      </c>
      <c r="E1816" s="112">
        <f>E1810</f>
        <v>63.41</v>
      </c>
      <c r="F1816" s="13"/>
      <c r="G1816" s="13"/>
      <c r="K1816" s="93"/>
    </row>
    <row r="1817" spans="2:11" s="38" customFormat="1" ht="42.6" hidden="1" customHeight="1" outlineLevel="1">
      <c r="B1817" s="71" t="s">
        <v>1811</v>
      </c>
      <c r="C1817" s="50" t="s">
        <v>1812</v>
      </c>
      <c r="D1817" s="51" t="s">
        <v>84</v>
      </c>
      <c r="E1817" s="112">
        <v>6.3</v>
      </c>
      <c r="F1817" s="4"/>
      <c r="G1817" s="4"/>
      <c r="K1817" s="93"/>
    </row>
    <row r="1818" spans="2:11" s="38" customFormat="1" ht="42.6" hidden="1" customHeight="1" outlineLevel="1">
      <c r="B1818" s="71" t="s">
        <v>1813</v>
      </c>
      <c r="C1818" s="50" t="s">
        <v>1814</v>
      </c>
      <c r="D1818" s="51" t="s">
        <v>84</v>
      </c>
      <c r="E1818" s="112">
        <v>65.5</v>
      </c>
      <c r="F1818" s="4"/>
      <c r="G1818" s="4"/>
      <c r="K1818" s="93"/>
    </row>
    <row r="1819" spans="2:11" s="38" customFormat="1" ht="42.6" hidden="1" customHeight="1" outlineLevel="1">
      <c r="B1819" s="71" t="s">
        <v>1815</v>
      </c>
      <c r="C1819" s="50" t="s">
        <v>1816</v>
      </c>
      <c r="D1819" s="51" t="s">
        <v>140</v>
      </c>
      <c r="E1819" s="112">
        <v>6</v>
      </c>
      <c r="F1819" s="4"/>
      <c r="G1819" s="4"/>
      <c r="K1819" s="93"/>
    </row>
    <row r="1820" spans="2:11" s="38" customFormat="1" ht="42.6" hidden="1" customHeight="1" outlineLevel="1">
      <c r="B1820" s="71" t="s">
        <v>1817</v>
      </c>
      <c r="C1820" s="50" t="s">
        <v>1818</v>
      </c>
      <c r="D1820" s="51" t="s">
        <v>75</v>
      </c>
      <c r="E1820" s="112">
        <v>12.3</v>
      </c>
      <c r="F1820" s="4"/>
      <c r="G1820" s="4"/>
      <c r="K1820" s="93"/>
    </row>
    <row r="1821" spans="2:11" s="38" customFormat="1" ht="42.6" hidden="1" customHeight="1" outlineLevel="1">
      <c r="B1821" s="71" t="s">
        <v>1819</v>
      </c>
      <c r="C1821" s="50" t="s">
        <v>1820</v>
      </c>
      <c r="D1821" s="51" t="s">
        <v>75</v>
      </c>
      <c r="E1821" s="112">
        <v>8.1999999999999993</v>
      </c>
      <c r="F1821" s="4"/>
      <c r="G1821" s="4"/>
      <c r="K1821" s="93"/>
    </row>
    <row r="1822" spans="2:11" s="38" customFormat="1" ht="42.6" hidden="1" customHeight="1" collapsed="1">
      <c r="B1822" s="71" t="s">
        <v>1821</v>
      </c>
      <c r="C1822" s="55" t="s">
        <v>1822</v>
      </c>
      <c r="D1822" s="56"/>
      <c r="E1822" s="124">
        <v>0</v>
      </c>
      <c r="F1822" s="13"/>
      <c r="G1822" s="13"/>
      <c r="K1822" s="93"/>
    </row>
    <row r="1823" spans="2:11" s="38" customFormat="1" ht="42.6" hidden="1" customHeight="1" outlineLevel="1">
      <c r="B1823" s="71" t="s">
        <v>1823</v>
      </c>
      <c r="C1823" s="50" t="s">
        <v>1824</v>
      </c>
      <c r="D1823" s="51" t="s">
        <v>140</v>
      </c>
      <c r="E1823" s="112">
        <v>1</v>
      </c>
      <c r="F1823" s="13"/>
      <c r="G1823" s="13">
        <f>E1823*F1823</f>
        <v>0</v>
      </c>
      <c r="K1823" s="93"/>
    </row>
    <row r="1824" spans="2:11" s="38" customFormat="1" ht="42.6" hidden="1" customHeight="1" outlineLevel="1">
      <c r="B1824" s="71" t="s">
        <v>1825</v>
      </c>
      <c r="C1824" s="50" t="s">
        <v>1826</v>
      </c>
      <c r="D1824" s="51" t="s">
        <v>140</v>
      </c>
      <c r="E1824" s="112">
        <v>2</v>
      </c>
      <c r="F1824" s="85"/>
      <c r="G1824" s="13">
        <f>F1824*E1824</f>
        <v>0</v>
      </c>
      <c r="K1824" s="93"/>
    </row>
    <row r="1825" spans="2:11" s="38" customFormat="1" ht="42.6" hidden="1" customHeight="1" collapsed="1">
      <c r="B1825" s="71" t="s">
        <v>1827</v>
      </c>
      <c r="C1825" s="55" t="s">
        <v>1828</v>
      </c>
      <c r="D1825" s="56"/>
      <c r="E1825" s="124">
        <v>0</v>
      </c>
      <c r="F1825" s="13"/>
      <c r="G1825" s="13"/>
      <c r="K1825" s="93"/>
    </row>
    <row r="1826" spans="2:11" s="38" customFormat="1" ht="42.6" hidden="1" customHeight="1" outlineLevel="1">
      <c r="B1826" s="71" t="s">
        <v>1829</v>
      </c>
      <c r="C1826" s="50" t="s">
        <v>1830</v>
      </c>
      <c r="D1826" s="51"/>
      <c r="E1826" s="112"/>
      <c r="F1826" s="13"/>
      <c r="G1826" s="13"/>
      <c r="K1826" s="100"/>
    </row>
    <row r="1827" spans="2:11" s="38" customFormat="1" ht="42.6" hidden="1" customHeight="1" outlineLevel="1">
      <c r="B1827" s="71" t="s">
        <v>1831</v>
      </c>
      <c r="C1827" s="50" t="s">
        <v>1832</v>
      </c>
      <c r="D1827" s="51" t="s">
        <v>140</v>
      </c>
      <c r="E1827" s="112">
        <v>1</v>
      </c>
      <c r="F1827" s="13"/>
      <c r="G1827" s="13">
        <f>E1827*F1827</f>
        <v>0</v>
      </c>
      <c r="K1827" s="100"/>
    </row>
    <row r="1828" spans="2:11" s="38" customFormat="1" ht="42.6" hidden="1" customHeight="1" outlineLevel="1">
      <c r="B1828" s="71" t="s">
        <v>1833</v>
      </c>
      <c r="C1828" s="50" t="s">
        <v>1834</v>
      </c>
      <c r="D1828" s="51" t="s">
        <v>140</v>
      </c>
      <c r="E1828" s="112">
        <v>1</v>
      </c>
      <c r="F1828" s="13"/>
      <c r="G1828" s="13"/>
      <c r="K1828" s="100"/>
    </row>
    <row r="1829" spans="2:11" s="38" customFormat="1" ht="42.6" hidden="1" customHeight="1" outlineLevel="1">
      <c r="B1829" s="71" t="s">
        <v>1835</v>
      </c>
      <c r="C1829" s="50" t="s">
        <v>1836</v>
      </c>
      <c r="D1829" s="51" t="s">
        <v>140</v>
      </c>
      <c r="E1829" s="112">
        <v>1</v>
      </c>
      <c r="F1829" s="13"/>
      <c r="G1829" s="13">
        <f>E1829*F1829</f>
        <v>0</v>
      </c>
      <c r="K1829" s="100"/>
    </row>
    <row r="1830" spans="2:11" s="38" customFormat="1" ht="42.6" hidden="1" customHeight="1" outlineLevel="1">
      <c r="B1830" s="71" t="s">
        <v>1837</v>
      </c>
      <c r="C1830" s="50" t="s">
        <v>1838</v>
      </c>
      <c r="D1830" s="51" t="s">
        <v>140</v>
      </c>
      <c r="E1830" s="112">
        <v>1</v>
      </c>
      <c r="F1830" s="13"/>
      <c r="G1830" s="13">
        <f>E1830*F1830</f>
        <v>0</v>
      </c>
      <c r="K1830" s="100"/>
    </row>
    <row r="1831" spans="2:11" s="38" customFormat="1" ht="42.6" hidden="1" customHeight="1" collapsed="1">
      <c r="B1831" s="71" t="s">
        <v>1839</v>
      </c>
      <c r="C1831" s="55" t="s">
        <v>1840</v>
      </c>
      <c r="D1831" s="56"/>
      <c r="E1831" s="124">
        <v>0</v>
      </c>
      <c r="F1831" s="13"/>
      <c r="G1831" s="13"/>
      <c r="K1831" s="93"/>
    </row>
    <row r="1832" spans="2:11" s="38" customFormat="1" ht="42.6" hidden="1" customHeight="1" outlineLevel="1">
      <c r="B1832" s="71" t="s">
        <v>1841</v>
      </c>
      <c r="C1832" s="50" t="s">
        <v>1842</v>
      </c>
      <c r="D1832" s="51" t="s">
        <v>140</v>
      </c>
      <c r="E1832" s="112">
        <v>1</v>
      </c>
      <c r="F1832" s="13"/>
      <c r="G1832" s="13">
        <f>E1832*F1832</f>
        <v>0</v>
      </c>
      <c r="K1832" s="93"/>
    </row>
    <row r="1833" spans="2:11" s="38" customFormat="1" ht="42.6" hidden="1" customHeight="1" outlineLevel="1">
      <c r="B1833" s="71" t="s">
        <v>1843</v>
      </c>
      <c r="C1833" s="50" t="s">
        <v>1844</v>
      </c>
      <c r="D1833" s="51" t="s">
        <v>1845</v>
      </c>
      <c r="E1833" s="112">
        <v>1</v>
      </c>
      <c r="F1833" s="13"/>
      <c r="G1833" s="13"/>
      <c r="K1833" s="93"/>
    </row>
    <row r="1834" spans="2:11" s="38" customFormat="1" ht="42.6" hidden="1" customHeight="1" collapsed="1">
      <c r="B1834" s="71" t="s">
        <v>1846</v>
      </c>
      <c r="C1834" s="55" t="s">
        <v>157</v>
      </c>
      <c r="D1834" s="56"/>
      <c r="E1834" s="124">
        <v>0</v>
      </c>
      <c r="F1834" s="13">
        <v>0</v>
      </c>
      <c r="G1834" s="13">
        <f>E1834*F1834</f>
        <v>0</v>
      </c>
      <c r="K1834" s="93"/>
    </row>
    <row r="1835" spans="2:11" s="38" customFormat="1" ht="42.6" hidden="1" customHeight="1" outlineLevel="1">
      <c r="B1835" s="71"/>
      <c r="C1835" s="50" t="s">
        <v>158</v>
      </c>
      <c r="D1835" s="51"/>
      <c r="E1835" s="112"/>
      <c r="F1835" s="4"/>
      <c r="G1835" s="4"/>
      <c r="K1835" s="100"/>
    </row>
    <row r="1836" spans="2:11" s="38" customFormat="1" ht="42.6" hidden="1" customHeight="1" outlineLevel="1">
      <c r="B1836" s="71" t="s">
        <v>1847</v>
      </c>
      <c r="C1836" s="50" t="s">
        <v>1848</v>
      </c>
      <c r="D1836" s="51" t="s">
        <v>140</v>
      </c>
      <c r="E1836" s="112">
        <v>5</v>
      </c>
      <c r="F1836" s="4"/>
      <c r="G1836" s="4"/>
      <c r="K1836" s="100"/>
    </row>
    <row r="1837" spans="2:11" s="38" customFormat="1" ht="42.6" hidden="1" customHeight="1" outlineLevel="1">
      <c r="B1837" s="109" t="s">
        <v>1849</v>
      </c>
      <c r="C1837" s="50" t="s">
        <v>1850</v>
      </c>
      <c r="D1837" s="110" t="s">
        <v>140</v>
      </c>
      <c r="E1837" s="125">
        <v>5</v>
      </c>
      <c r="F1837" s="13"/>
      <c r="G1837" s="4"/>
      <c r="K1837" s="100"/>
    </row>
    <row r="1838" spans="2:11" s="38" customFormat="1" ht="42.6" hidden="1" customHeight="1" outlineLevel="1">
      <c r="B1838" s="71" t="s">
        <v>1851</v>
      </c>
      <c r="C1838" s="50" t="s">
        <v>1852</v>
      </c>
      <c r="D1838" s="51" t="s">
        <v>140</v>
      </c>
      <c r="E1838" s="112">
        <v>2</v>
      </c>
      <c r="F1838" s="13"/>
      <c r="G1838" s="4"/>
      <c r="K1838" s="100"/>
    </row>
    <row r="1839" spans="2:11" s="38" customFormat="1" ht="42.6" hidden="1" customHeight="1" outlineLevel="1">
      <c r="B1839" s="71" t="s">
        <v>1853</v>
      </c>
      <c r="C1839" s="50" t="s">
        <v>1854</v>
      </c>
      <c r="D1839" s="51" t="s">
        <v>140</v>
      </c>
      <c r="E1839" s="112">
        <v>5</v>
      </c>
      <c r="F1839" s="4"/>
      <c r="G1839" s="102"/>
      <c r="K1839" s="100"/>
    </row>
    <row r="1840" spans="2:11" s="38" customFormat="1" ht="42.6" hidden="1" customHeight="1" outlineLevel="1">
      <c r="B1840" s="71" t="s">
        <v>1855</v>
      </c>
      <c r="C1840" s="50" t="s">
        <v>1856</v>
      </c>
      <c r="D1840" s="51" t="s">
        <v>140</v>
      </c>
      <c r="E1840" s="112">
        <v>6</v>
      </c>
      <c r="F1840" s="13"/>
      <c r="G1840" s="4"/>
      <c r="K1840" s="100"/>
    </row>
    <row r="1841" spans="2:11" s="38" customFormat="1" ht="42.6" hidden="1" customHeight="1" outlineLevel="1">
      <c r="B1841" s="71" t="s">
        <v>1857</v>
      </c>
      <c r="C1841" s="50" t="s">
        <v>1858</v>
      </c>
      <c r="D1841" s="51" t="s">
        <v>140</v>
      </c>
      <c r="E1841" s="112">
        <v>6</v>
      </c>
      <c r="F1841" s="13"/>
      <c r="G1841" s="4"/>
      <c r="K1841" s="100"/>
    </row>
    <row r="1842" spans="2:11" s="38" customFormat="1" ht="42.6" hidden="1" customHeight="1" outlineLevel="1">
      <c r="B1842" s="71" t="s">
        <v>1859</v>
      </c>
      <c r="C1842" s="50" t="s">
        <v>1860</v>
      </c>
      <c r="D1842" s="51" t="s">
        <v>140</v>
      </c>
      <c r="E1842" s="112">
        <v>5</v>
      </c>
      <c r="F1842" s="13"/>
      <c r="G1842" s="4"/>
      <c r="K1842" s="100"/>
    </row>
    <row r="1843" spans="2:11" s="38" customFormat="1" ht="42.6" hidden="1" customHeight="1" outlineLevel="1">
      <c r="B1843" s="71" t="s">
        <v>1861</v>
      </c>
      <c r="C1843" s="50" t="s">
        <v>1862</v>
      </c>
      <c r="D1843" s="51" t="s">
        <v>140</v>
      </c>
      <c r="E1843" s="112">
        <v>5</v>
      </c>
      <c r="F1843" s="13"/>
      <c r="G1843" s="4"/>
      <c r="K1843" s="100"/>
    </row>
    <row r="1844" spans="2:11" s="38" customFormat="1" ht="42.6" hidden="1" customHeight="1" outlineLevel="1">
      <c r="B1844" s="71" t="s">
        <v>1863</v>
      </c>
      <c r="C1844" s="50" t="s">
        <v>1864</v>
      </c>
      <c r="D1844" s="51" t="s">
        <v>140</v>
      </c>
      <c r="E1844" s="112">
        <v>5</v>
      </c>
      <c r="F1844" s="13"/>
      <c r="G1844" s="4"/>
      <c r="K1844" s="100"/>
    </row>
    <row r="1845" spans="2:11" s="38" customFormat="1" ht="42.6" hidden="1" customHeight="1" outlineLevel="1">
      <c r="B1845" s="71" t="s">
        <v>1865</v>
      </c>
      <c r="C1845" s="50" t="s">
        <v>1866</v>
      </c>
      <c r="D1845" s="51" t="s">
        <v>140</v>
      </c>
      <c r="E1845" s="112">
        <v>3</v>
      </c>
      <c r="F1845" s="13"/>
      <c r="G1845" s="4"/>
      <c r="K1845" s="100"/>
    </row>
    <row r="1846" spans="2:11" s="38" customFormat="1" ht="42.6" hidden="1" customHeight="1" outlineLevel="1">
      <c r="B1846" s="71" t="s">
        <v>1867</v>
      </c>
      <c r="C1846" s="50" t="s">
        <v>1868</v>
      </c>
      <c r="D1846" s="51" t="s">
        <v>140</v>
      </c>
      <c r="E1846" s="112">
        <v>2</v>
      </c>
      <c r="F1846" s="13"/>
      <c r="G1846" s="4"/>
      <c r="K1846" s="100"/>
    </row>
    <row r="1847" spans="2:11" s="38" customFormat="1" ht="42.6" hidden="1" customHeight="1" outlineLevel="1">
      <c r="B1847" s="71" t="s">
        <v>1869</v>
      </c>
      <c r="C1847" s="50" t="s">
        <v>1870</v>
      </c>
      <c r="D1847" s="51" t="s">
        <v>140</v>
      </c>
      <c r="E1847" s="112">
        <v>2</v>
      </c>
      <c r="F1847" s="13"/>
      <c r="G1847" s="4"/>
      <c r="K1847" s="100"/>
    </row>
    <row r="1848" spans="2:11" s="38" customFormat="1" ht="42.6" hidden="1" customHeight="1" outlineLevel="1">
      <c r="B1848" s="71" t="s">
        <v>1871</v>
      </c>
      <c r="C1848" s="50" t="s">
        <v>1872</v>
      </c>
      <c r="D1848" s="51" t="s">
        <v>140</v>
      </c>
      <c r="E1848" s="112">
        <v>4</v>
      </c>
      <c r="F1848" s="13"/>
      <c r="G1848" s="4"/>
      <c r="K1848" s="100"/>
    </row>
    <row r="1849" spans="2:11" s="38" customFormat="1" ht="42.6" hidden="1" customHeight="1" outlineLevel="1">
      <c r="B1849" s="71" t="s">
        <v>1873</v>
      </c>
      <c r="C1849" s="50" t="s">
        <v>1874</v>
      </c>
      <c r="D1849" s="51" t="s">
        <v>38</v>
      </c>
      <c r="E1849" s="112">
        <v>1</v>
      </c>
      <c r="F1849" s="4"/>
      <c r="G1849" s="4"/>
      <c r="K1849" s="100"/>
    </row>
    <row r="1850" spans="2:11" s="38" customFormat="1" ht="42.6" hidden="1" customHeight="1" outlineLevel="1">
      <c r="B1850" s="71" t="s">
        <v>1875</v>
      </c>
      <c r="C1850" s="50" t="s">
        <v>1876</v>
      </c>
      <c r="D1850" s="51" t="s">
        <v>140</v>
      </c>
      <c r="E1850" s="112">
        <v>2</v>
      </c>
      <c r="F1850" s="4"/>
      <c r="G1850" s="4"/>
      <c r="K1850" s="100"/>
    </row>
    <row r="1851" spans="2:11" s="38" customFormat="1" ht="42.6" hidden="1" customHeight="1" outlineLevel="1">
      <c r="B1851" s="71" t="s">
        <v>1877</v>
      </c>
      <c r="C1851" s="50" t="s">
        <v>1878</v>
      </c>
      <c r="D1851" s="51" t="s">
        <v>140</v>
      </c>
      <c r="E1851" s="112">
        <v>2</v>
      </c>
      <c r="F1851" s="4"/>
      <c r="G1851" s="4"/>
      <c r="K1851" s="100"/>
    </row>
    <row r="1852" spans="2:11" s="38" customFormat="1" ht="42.6" hidden="1" customHeight="1" outlineLevel="1">
      <c r="B1852" s="71" t="s">
        <v>1879</v>
      </c>
      <c r="C1852" s="50" t="s">
        <v>1880</v>
      </c>
      <c r="D1852" s="51" t="s">
        <v>140</v>
      </c>
      <c r="E1852" s="112">
        <v>2</v>
      </c>
      <c r="F1852" s="4"/>
      <c r="G1852" s="4"/>
      <c r="K1852" s="100"/>
    </row>
    <row r="1853" spans="2:11" s="38" customFormat="1" ht="42.6" hidden="1" customHeight="1" outlineLevel="1">
      <c r="B1853" s="71" t="s">
        <v>1881</v>
      </c>
      <c r="C1853" s="50" t="s">
        <v>1882</v>
      </c>
      <c r="D1853" s="51" t="s">
        <v>140</v>
      </c>
      <c r="E1853" s="112">
        <v>1</v>
      </c>
      <c r="F1853" s="4"/>
      <c r="G1853" s="4"/>
      <c r="K1853" s="100"/>
    </row>
    <row r="1854" spans="2:11" s="38" customFormat="1" ht="42.6" hidden="1" customHeight="1" outlineLevel="1">
      <c r="B1854" s="71" t="s">
        <v>1883</v>
      </c>
      <c r="C1854" s="50" t="s">
        <v>1884</v>
      </c>
      <c r="D1854" s="51" t="s">
        <v>140</v>
      </c>
      <c r="E1854" s="112">
        <v>2</v>
      </c>
      <c r="F1854" s="4"/>
      <c r="G1854" s="4"/>
      <c r="K1854" s="100"/>
    </row>
    <row r="1855" spans="2:11" s="38" customFormat="1" ht="42.6" hidden="1" customHeight="1" outlineLevel="1">
      <c r="B1855" s="71" t="s">
        <v>1885</v>
      </c>
      <c r="C1855" s="50" t="s">
        <v>1886</v>
      </c>
      <c r="D1855" s="51" t="s">
        <v>140</v>
      </c>
      <c r="E1855" s="112">
        <v>2</v>
      </c>
      <c r="F1855" s="4"/>
      <c r="G1855" s="4"/>
      <c r="K1855" s="100"/>
    </row>
    <row r="1856" spans="2:11" s="38" customFormat="1" ht="42.6" hidden="1" customHeight="1" outlineLevel="1">
      <c r="B1856" s="109" t="s">
        <v>1887</v>
      </c>
      <c r="C1856" s="50" t="s">
        <v>1888</v>
      </c>
      <c r="D1856" s="110" t="s">
        <v>1845</v>
      </c>
      <c r="E1856" s="125">
        <v>1</v>
      </c>
      <c r="F1856" s="4"/>
      <c r="G1856" s="4"/>
      <c r="K1856" s="100"/>
    </row>
    <row r="1857" spans="2:11" s="38" customFormat="1" ht="42.6" hidden="1" customHeight="1" collapsed="1">
      <c r="B1857" s="71" t="s">
        <v>1889</v>
      </c>
      <c r="C1857" s="55" t="s">
        <v>66</v>
      </c>
      <c r="D1857" s="56"/>
      <c r="E1857" s="124">
        <v>0</v>
      </c>
      <c r="F1857" s="13"/>
      <c r="G1857" s="13"/>
      <c r="K1857" s="93"/>
    </row>
    <row r="1858" spans="2:11" s="38" customFormat="1" ht="42.6" hidden="1" customHeight="1" outlineLevel="1">
      <c r="B1858" s="71" t="s">
        <v>1890</v>
      </c>
      <c r="C1858" s="50" t="s">
        <v>1891</v>
      </c>
      <c r="D1858" s="51" t="s">
        <v>1892</v>
      </c>
      <c r="E1858" s="112">
        <v>1</v>
      </c>
      <c r="F1858" s="4"/>
      <c r="G1858" s="4"/>
      <c r="K1858" s="100"/>
    </row>
    <row r="1859" spans="2:11" s="38" customFormat="1" ht="42.6" hidden="1" customHeight="1" outlineLevel="1">
      <c r="B1859" s="71" t="s">
        <v>1893</v>
      </c>
      <c r="C1859" s="50" t="s">
        <v>1894</v>
      </c>
      <c r="D1859" s="51" t="s">
        <v>1892</v>
      </c>
      <c r="E1859" s="112">
        <v>1</v>
      </c>
      <c r="F1859" s="4"/>
      <c r="G1859" s="4"/>
      <c r="K1859" s="100"/>
    </row>
    <row r="1860" spans="2:11" s="38" customFormat="1" ht="42.6" hidden="1" customHeight="1" collapsed="1">
      <c r="B1860" s="71" t="s">
        <v>1895</v>
      </c>
      <c r="C1860" s="55" t="s">
        <v>202</v>
      </c>
      <c r="D1860" s="56"/>
      <c r="E1860" s="124">
        <v>0</v>
      </c>
      <c r="F1860" s="4"/>
      <c r="G1860" s="4"/>
      <c r="K1860" s="100"/>
    </row>
    <row r="1861" spans="2:11" s="38" customFormat="1" ht="42.6" hidden="1" customHeight="1" outlineLevel="1">
      <c r="B1861" s="71" t="s">
        <v>1896</v>
      </c>
      <c r="C1861" s="50" t="s">
        <v>1897</v>
      </c>
      <c r="D1861" s="51" t="s">
        <v>1898</v>
      </c>
      <c r="E1861" s="112"/>
      <c r="F1861" s="4"/>
      <c r="G1861" s="59"/>
      <c r="K1861" s="100"/>
    </row>
    <row r="1862" spans="2:11" ht="42.6" hidden="1" customHeight="1" collapsed="1">
      <c r="B1862" s="71" t="s">
        <v>1899</v>
      </c>
      <c r="C1862" s="55" t="s">
        <v>1900</v>
      </c>
      <c r="D1862" s="51"/>
      <c r="E1862" s="112"/>
      <c r="F1862" s="4"/>
      <c r="G1862" s="4"/>
      <c r="H1862" s="38"/>
      <c r="I1862" s="38"/>
      <c r="J1862" s="38"/>
      <c r="K1862" s="93"/>
    </row>
    <row r="1863" spans="2:11" ht="42.6" hidden="1" customHeight="1" outlineLevel="1">
      <c r="B1863" s="71" t="s">
        <v>1901</v>
      </c>
      <c r="C1863" s="50" t="s">
        <v>1902</v>
      </c>
      <c r="D1863" s="51" t="s">
        <v>1903</v>
      </c>
      <c r="E1863" s="112">
        <v>2</v>
      </c>
      <c r="F1863" s="4"/>
      <c r="G1863" s="4"/>
      <c r="H1863" s="38"/>
      <c r="I1863" s="38"/>
      <c r="J1863" s="38"/>
      <c r="K1863" s="93"/>
    </row>
    <row r="1864" spans="2:11" ht="42.6" hidden="1" customHeight="1" collapsed="1"/>
    <row r="1865" spans="2:11" ht="42.6" customHeight="1">
      <c r="C1865" s="138" t="s">
        <v>60</v>
      </c>
      <c r="G1865" s="4">
        <f t="shared" ref="G1865:G1872" si="40">E1865*F1865</f>
        <v>0</v>
      </c>
    </row>
    <row r="1866" spans="2:11">
      <c r="G1866" s="4">
        <f t="shared" si="40"/>
        <v>0</v>
      </c>
    </row>
    <row r="1867" spans="2:11" s="38" customFormat="1">
      <c r="B1867" s="71" t="s">
        <v>1904</v>
      </c>
      <c r="C1867" s="55" t="s">
        <v>62</v>
      </c>
      <c r="D1867" s="56"/>
      <c r="E1867" s="124">
        <v>0</v>
      </c>
      <c r="F1867" s="13">
        <v>0</v>
      </c>
      <c r="G1867" s="4">
        <f t="shared" si="40"/>
        <v>0</v>
      </c>
      <c r="K1867" s="93"/>
    </row>
    <row r="1868" spans="2:11" s="38" customFormat="1" ht="201.75" customHeight="1" outlineLevel="1">
      <c r="B1868" s="71" t="s">
        <v>1905</v>
      </c>
      <c r="C1868" s="138" t="s">
        <v>64</v>
      </c>
      <c r="D1868" s="51" t="s">
        <v>1898</v>
      </c>
      <c r="E1868" s="112">
        <v>1</v>
      </c>
      <c r="F1868" s="4"/>
      <c r="G1868" s="4">
        <f t="shared" si="40"/>
        <v>0</v>
      </c>
      <c r="K1868" s="93"/>
    </row>
    <row r="1869" spans="2:11" s="38" customFormat="1">
      <c r="B1869" s="71" t="s">
        <v>1906</v>
      </c>
      <c r="C1869" s="55" t="s">
        <v>72</v>
      </c>
      <c r="D1869" s="56"/>
      <c r="E1869" s="124">
        <v>0</v>
      </c>
      <c r="F1869" s="4">
        <v>0</v>
      </c>
      <c r="G1869" s="4">
        <f t="shared" si="40"/>
        <v>0</v>
      </c>
      <c r="K1869" s="93"/>
    </row>
    <row r="1870" spans="2:11" s="38" customFormat="1" ht="123" customHeight="1" outlineLevel="1">
      <c r="B1870" s="71" t="s">
        <v>1907</v>
      </c>
      <c r="C1870" s="139" t="s">
        <v>1908</v>
      </c>
      <c r="D1870" s="51" t="s">
        <v>91</v>
      </c>
      <c r="E1870" s="112">
        <v>1</v>
      </c>
      <c r="F1870" s="4"/>
      <c r="G1870" s="4">
        <f t="shared" si="40"/>
        <v>0</v>
      </c>
      <c r="K1870" s="93"/>
    </row>
    <row r="1871" spans="2:11" s="38" customFormat="1" ht="63.75" outlineLevel="1">
      <c r="B1871" s="71" t="s">
        <v>1909</v>
      </c>
      <c r="C1871" s="138" t="s">
        <v>1910</v>
      </c>
      <c r="D1871" s="51" t="s">
        <v>84</v>
      </c>
      <c r="E1871" s="112">
        <f>2*0.9</f>
        <v>1.8</v>
      </c>
      <c r="F1871" s="4"/>
      <c r="G1871" s="4">
        <f t="shared" si="40"/>
        <v>0</v>
      </c>
      <c r="K1871" s="93"/>
    </row>
    <row r="1872" spans="2:11" s="38" customFormat="1">
      <c r="B1872" s="71" t="s">
        <v>1911</v>
      </c>
      <c r="C1872" s="55" t="s">
        <v>146</v>
      </c>
      <c r="D1872" s="56"/>
      <c r="E1872" s="124">
        <v>0</v>
      </c>
      <c r="F1872" s="4"/>
      <c r="G1872" s="4">
        <f t="shared" si="40"/>
        <v>0</v>
      </c>
      <c r="K1872" s="93"/>
    </row>
    <row r="1873" spans="1:11" s="38" customFormat="1" ht="213.75" customHeight="1" outlineLevel="1">
      <c r="B1873" s="127" t="s">
        <v>1912</v>
      </c>
      <c r="C1873" s="97" t="s">
        <v>1913</v>
      </c>
      <c r="D1873" s="51" t="s">
        <v>140</v>
      </c>
      <c r="E1873" s="112">
        <v>1</v>
      </c>
      <c r="F1873" s="4"/>
      <c r="G1873" s="4">
        <f>E1873*F1873</f>
        <v>0</v>
      </c>
      <c r="K1873" s="93"/>
    </row>
    <row r="1874" spans="1:11" s="38" customFormat="1">
      <c r="B1874" s="72" t="s">
        <v>1914</v>
      </c>
      <c r="C1874" s="52"/>
      <c r="D1874" s="15"/>
      <c r="E1874" s="122"/>
      <c r="F1874" s="54"/>
      <c r="G1874" s="58">
        <f>SUM(G1867:G1873)</f>
        <v>0</v>
      </c>
      <c r="K1874" s="93"/>
    </row>
    <row r="1875" spans="1:11" s="38" customFormat="1" outlineLevel="1">
      <c r="B1875" s="71"/>
      <c r="C1875" s="50"/>
      <c r="D1875" s="51"/>
      <c r="E1875" s="112"/>
      <c r="F1875" s="4"/>
      <c r="G1875" s="59"/>
      <c r="K1875" s="100"/>
    </row>
    <row r="1876" spans="1:11" s="38" customFormat="1">
      <c r="B1876" s="114" t="s">
        <v>1915</v>
      </c>
      <c r="C1876" s="52"/>
      <c r="D1876" s="15"/>
      <c r="E1876" s="122"/>
      <c r="F1876" s="54"/>
      <c r="G1876" s="58"/>
      <c r="K1876" s="93"/>
    </row>
    <row r="1877" spans="1:11" s="38" customFormat="1" ht="39.75" customHeight="1">
      <c r="B1877" s="116"/>
      <c r="C1877" s="55" t="s">
        <v>207</v>
      </c>
      <c r="D1877" s="11" t="s">
        <v>140</v>
      </c>
      <c r="E1877" s="121">
        <v>31</v>
      </c>
      <c r="F1877" s="13"/>
      <c r="G1877" s="113">
        <f>G1874*E1877</f>
        <v>0</v>
      </c>
      <c r="K1877" s="93"/>
    </row>
    <row r="1879" spans="1:11">
      <c r="A1879" s="38"/>
      <c r="B1879" s="141">
        <v>3.22</v>
      </c>
      <c r="C1879" s="72" t="s">
        <v>1925</v>
      </c>
      <c r="D1879" s="49"/>
      <c r="E1879" s="60">
        <v>0</v>
      </c>
      <c r="F1879" s="129"/>
      <c r="G1879" s="129"/>
    </row>
    <row r="1880" spans="1:11">
      <c r="A1880" s="38"/>
      <c r="B1880" s="128"/>
      <c r="C1880" s="116"/>
      <c r="D1880" s="56"/>
      <c r="E1880" s="62"/>
      <c r="F1880" s="38"/>
      <c r="G1880" s="38"/>
    </row>
    <row r="1881" spans="1:11" ht="38.25">
      <c r="A1881" s="38"/>
      <c r="B1881" s="128"/>
      <c r="C1881" s="138" t="s">
        <v>60</v>
      </c>
      <c r="D1881" s="56"/>
      <c r="E1881" s="62"/>
      <c r="F1881" s="38"/>
      <c r="G1881" s="38">
        <f t="shared" ref="G1881:G1939" si="41">E1881*F1881</f>
        <v>0</v>
      </c>
    </row>
    <row r="1882" spans="1:11">
      <c r="A1882" s="38"/>
      <c r="B1882" s="128"/>
      <c r="C1882" s="116"/>
      <c r="D1882" s="56"/>
      <c r="E1882" s="62"/>
      <c r="F1882" s="38"/>
      <c r="G1882" s="38">
        <f t="shared" si="41"/>
        <v>0</v>
      </c>
    </row>
    <row r="1883" spans="1:11">
      <c r="A1883" s="38"/>
      <c r="B1883" s="142" t="s">
        <v>1926</v>
      </c>
      <c r="C1883" s="55" t="s">
        <v>62</v>
      </c>
      <c r="D1883" s="56"/>
      <c r="E1883" s="62">
        <v>0</v>
      </c>
      <c r="F1883" s="38"/>
      <c r="G1883" s="38">
        <f t="shared" si="41"/>
        <v>0</v>
      </c>
    </row>
    <row r="1884" spans="1:11" ht="191.25">
      <c r="A1884" s="38"/>
      <c r="B1884" s="71" t="s">
        <v>1927</v>
      </c>
      <c r="C1884" s="138" t="s">
        <v>64</v>
      </c>
      <c r="D1884" s="51" t="s">
        <v>38</v>
      </c>
      <c r="E1884" s="61">
        <v>1</v>
      </c>
      <c r="F1884" s="38"/>
      <c r="G1884" s="38">
        <f t="shared" si="41"/>
        <v>0</v>
      </c>
    </row>
    <row r="1885" spans="1:11" ht="51">
      <c r="A1885" s="38"/>
      <c r="B1885" s="71" t="s">
        <v>1928</v>
      </c>
      <c r="C1885" s="50" t="s">
        <v>1929</v>
      </c>
      <c r="D1885" s="51" t="s">
        <v>84</v>
      </c>
      <c r="E1885" s="61">
        <v>60.32</v>
      </c>
      <c r="F1885" s="38"/>
      <c r="G1885" s="38">
        <f t="shared" si="41"/>
        <v>0</v>
      </c>
    </row>
    <row r="1886" spans="1:11" ht="38.25">
      <c r="A1886" s="38"/>
      <c r="B1886" s="71" t="s">
        <v>1930</v>
      </c>
      <c r="C1886" s="50" t="s">
        <v>1931</v>
      </c>
      <c r="D1886" s="51" t="s">
        <v>84</v>
      </c>
      <c r="E1886" s="61">
        <v>60.32</v>
      </c>
      <c r="F1886" s="38"/>
      <c r="G1886" s="38">
        <f t="shared" si="41"/>
        <v>0</v>
      </c>
    </row>
    <row r="1887" spans="1:11" ht="63.75">
      <c r="A1887" s="38"/>
      <c r="B1887" s="71" t="s">
        <v>1932</v>
      </c>
      <c r="C1887" s="50" t="s">
        <v>1933</v>
      </c>
      <c r="D1887" s="51" t="s">
        <v>84</v>
      </c>
      <c r="E1887" s="61">
        <v>102.5</v>
      </c>
      <c r="F1887" s="38"/>
      <c r="G1887" s="38">
        <f t="shared" si="41"/>
        <v>0</v>
      </c>
    </row>
    <row r="1888" spans="1:11" ht="51">
      <c r="A1888" s="38"/>
      <c r="B1888" s="71" t="s">
        <v>1934</v>
      </c>
      <c r="C1888" s="50" t="s">
        <v>1935</v>
      </c>
      <c r="D1888" s="51" t="s">
        <v>75</v>
      </c>
      <c r="E1888" s="61">
        <v>78.41</v>
      </c>
      <c r="F1888" s="38"/>
      <c r="G1888" s="38">
        <f t="shared" si="41"/>
        <v>0</v>
      </c>
    </row>
    <row r="1889" spans="1:7" ht="38.25">
      <c r="A1889" s="38"/>
      <c r="B1889" s="71" t="s">
        <v>1936</v>
      </c>
      <c r="C1889" s="50" t="s">
        <v>1937</v>
      </c>
      <c r="D1889" s="51" t="s">
        <v>75</v>
      </c>
      <c r="E1889" s="61">
        <v>40.11</v>
      </c>
      <c r="F1889" s="38"/>
      <c r="G1889" s="38">
        <f t="shared" si="41"/>
        <v>0</v>
      </c>
    </row>
    <row r="1890" spans="1:7">
      <c r="A1890" s="38"/>
      <c r="B1890" s="71"/>
      <c r="C1890" s="50"/>
      <c r="D1890" s="51"/>
      <c r="E1890" s="61"/>
      <c r="F1890" s="38"/>
      <c r="G1890" s="38">
        <f t="shared" si="41"/>
        <v>0</v>
      </c>
    </row>
    <row r="1891" spans="1:7">
      <c r="A1891" s="38"/>
      <c r="B1891" s="71" t="s">
        <v>1938</v>
      </c>
      <c r="C1891" s="55" t="s">
        <v>66</v>
      </c>
      <c r="D1891" s="56"/>
      <c r="E1891" s="62">
        <v>0</v>
      </c>
      <c r="F1891" s="13"/>
      <c r="G1891" s="38">
        <f t="shared" si="41"/>
        <v>0</v>
      </c>
    </row>
    <row r="1892" spans="1:7" ht="38.25">
      <c r="A1892" s="38"/>
      <c r="B1892" s="71" t="s">
        <v>1939</v>
      </c>
      <c r="C1892" s="138" t="s">
        <v>1940</v>
      </c>
      <c r="D1892" s="51" t="s">
        <v>38</v>
      </c>
      <c r="E1892" s="112">
        <v>1</v>
      </c>
      <c r="F1892" s="4"/>
      <c r="G1892" s="38">
        <f t="shared" si="41"/>
        <v>0</v>
      </c>
    </row>
    <row r="1893" spans="1:7" ht="63.75">
      <c r="A1893" s="38"/>
      <c r="B1893" s="71" t="s">
        <v>1941</v>
      </c>
      <c r="C1893" s="138" t="s">
        <v>1942</v>
      </c>
      <c r="D1893" s="51" t="s">
        <v>38</v>
      </c>
      <c r="E1893" s="112">
        <v>1</v>
      </c>
      <c r="F1893" s="4"/>
      <c r="G1893" s="38">
        <f t="shared" si="41"/>
        <v>0</v>
      </c>
    </row>
    <row r="1894" spans="1:7">
      <c r="A1894" s="38"/>
      <c r="B1894" s="71"/>
      <c r="C1894" s="50"/>
      <c r="D1894" s="51"/>
      <c r="E1894" s="61"/>
      <c r="F1894" s="38"/>
      <c r="G1894" s="38">
        <f t="shared" si="41"/>
        <v>0</v>
      </c>
    </row>
    <row r="1895" spans="1:7">
      <c r="A1895" s="38"/>
      <c r="B1895" s="71" t="s">
        <v>1943</v>
      </c>
      <c r="C1895" s="55" t="s">
        <v>72</v>
      </c>
      <c r="D1895" s="56"/>
      <c r="E1895" s="62">
        <v>0</v>
      </c>
      <c r="F1895" s="38"/>
      <c r="G1895" s="38">
        <f t="shared" si="41"/>
        <v>0</v>
      </c>
    </row>
    <row r="1896" spans="1:7" ht="76.5">
      <c r="A1896" s="38"/>
      <c r="B1896" s="71" t="s">
        <v>1944</v>
      </c>
      <c r="C1896" s="138" t="s">
        <v>1945</v>
      </c>
      <c r="D1896" s="51" t="s">
        <v>75</v>
      </c>
      <c r="E1896" s="112">
        <v>54.27</v>
      </c>
      <c r="F1896" s="38"/>
      <c r="G1896" s="38">
        <f t="shared" si="41"/>
        <v>0</v>
      </c>
    </row>
    <row r="1897" spans="1:7" ht="63.75">
      <c r="A1897" s="38"/>
      <c r="B1897" s="71" t="s">
        <v>1946</v>
      </c>
      <c r="C1897" s="50" t="s">
        <v>1947</v>
      </c>
      <c r="D1897" s="51" t="s">
        <v>75</v>
      </c>
      <c r="E1897" s="112">
        <v>54.27</v>
      </c>
      <c r="F1897" s="38"/>
      <c r="G1897" s="38">
        <f t="shared" si="41"/>
        <v>0</v>
      </c>
    </row>
    <row r="1898" spans="1:7" ht="76.5">
      <c r="A1898" s="38"/>
      <c r="B1898" s="71" t="s">
        <v>1948</v>
      </c>
      <c r="C1898" s="50" t="s">
        <v>1949</v>
      </c>
      <c r="D1898" s="51" t="s">
        <v>75</v>
      </c>
      <c r="E1898" s="112">
        <v>54.27</v>
      </c>
      <c r="F1898" s="38"/>
      <c r="G1898" s="38">
        <f t="shared" si="41"/>
        <v>0</v>
      </c>
    </row>
    <row r="1899" spans="1:7" ht="63.75">
      <c r="A1899" s="38"/>
      <c r="B1899" s="71" t="s">
        <v>1950</v>
      </c>
      <c r="C1899" s="50" t="s">
        <v>1951</v>
      </c>
      <c r="D1899" s="51" t="s">
        <v>84</v>
      </c>
      <c r="E1899" s="61">
        <v>42.45</v>
      </c>
      <c r="F1899" s="38"/>
      <c r="G1899" s="38">
        <f t="shared" si="41"/>
        <v>0</v>
      </c>
    </row>
    <row r="1900" spans="1:7" ht="89.25">
      <c r="A1900" s="38"/>
      <c r="B1900" s="71" t="s">
        <v>1952</v>
      </c>
      <c r="C1900" s="50" t="s">
        <v>1953</v>
      </c>
      <c r="D1900" s="51" t="s">
        <v>75</v>
      </c>
      <c r="E1900" s="61">
        <v>68.33</v>
      </c>
      <c r="F1900" s="38"/>
      <c r="G1900" s="38">
        <f t="shared" si="41"/>
        <v>0</v>
      </c>
    </row>
    <row r="1901" spans="1:7" ht="63.75">
      <c r="A1901" s="38"/>
      <c r="B1901" s="71" t="s">
        <v>1954</v>
      </c>
      <c r="C1901" s="138" t="s">
        <v>1955</v>
      </c>
      <c r="D1901" s="51" t="s">
        <v>84</v>
      </c>
      <c r="E1901" s="61">
        <v>7.95</v>
      </c>
      <c r="F1901" s="38"/>
      <c r="G1901" s="38">
        <f t="shared" si="41"/>
        <v>0</v>
      </c>
    </row>
    <row r="1902" spans="1:7">
      <c r="A1902" s="38"/>
      <c r="B1902" s="71"/>
      <c r="C1902" s="50"/>
      <c r="D1902" s="51"/>
      <c r="E1902" s="61"/>
      <c r="F1902" s="38"/>
      <c r="G1902" s="38">
        <f t="shared" si="41"/>
        <v>0</v>
      </c>
    </row>
    <row r="1903" spans="1:7">
      <c r="A1903" s="38"/>
      <c r="B1903" s="71" t="s">
        <v>1956</v>
      </c>
      <c r="C1903" s="55" t="s">
        <v>93</v>
      </c>
      <c r="D1903" s="56"/>
      <c r="E1903" s="62">
        <v>0</v>
      </c>
      <c r="F1903" s="38"/>
      <c r="G1903" s="38">
        <f t="shared" si="41"/>
        <v>0</v>
      </c>
    </row>
    <row r="1904" spans="1:7" ht="63.75">
      <c r="A1904" s="38"/>
      <c r="B1904" s="71" t="s">
        <v>1957</v>
      </c>
      <c r="C1904" s="138" t="s">
        <v>1958</v>
      </c>
      <c r="D1904" s="51" t="s">
        <v>75</v>
      </c>
      <c r="E1904" s="112">
        <v>18.13</v>
      </c>
      <c r="F1904" s="4"/>
      <c r="G1904" s="38">
        <f t="shared" si="41"/>
        <v>0</v>
      </c>
    </row>
    <row r="1905" spans="1:7" ht="76.5">
      <c r="A1905" s="38"/>
      <c r="B1905" s="71" t="s">
        <v>1959</v>
      </c>
      <c r="C1905" s="50" t="s">
        <v>1960</v>
      </c>
      <c r="D1905" s="51" t="s">
        <v>75</v>
      </c>
      <c r="E1905" s="112">
        <v>30.28</v>
      </c>
      <c r="F1905" s="4"/>
      <c r="G1905" s="38">
        <f t="shared" si="41"/>
        <v>0</v>
      </c>
    </row>
    <row r="1906" spans="1:7" ht="89.25">
      <c r="A1906" s="38"/>
      <c r="B1906" s="71" t="s">
        <v>1961</v>
      </c>
      <c r="C1906" s="50" t="s">
        <v>1962</v>
      </c>
      <c r="D1906" s="51" t="s">
        <v>75</v>
      </c>
      <c r="E1906" s="61">
        <v>161.5</v>
      </c>
      <c r="F1906" s="38"/>
      <c r="G1906" s="38">
        <f t="shared" si="41"/>
        <v>0</v>
      </c>
    </row>
    <row r="1907" spans="1:7" ht="89.25">
      <c r="A1907" s="38"/>
      <c r="B1907" s="142" t="s">
        <v>1963</v>
      </c>
      <c r="C1907" s="143" t="s">
        <v>1964</v>
      </c>
      <c r="D1907" s="144" t="s">
        <v>75</v>
      </c>
      <c r="E1907" s="140">
        <v>90.18</v>
      </c>
      <c r="F1907" s="38"/>
      <c r="G1907" s="38">
        <f t="shared" si="41"/>
        <v>0</v>
      </c>
    </row>
    <row r="1908" spans="1:7" ht="51">
      <c r="A1908" s="38"/>
      <c r="B1908" s="71" t="s">
        <v>1965</v>
      </c>
      <c r="C1908" s="50" t="s">
        <v>1966</v>
      </c>
      <c r="D1908" s="51" t="s">
        <v>91</v>
      </c>
      <c r="E1908" s="61">
        <v>2</v>
      </c>
      <c r="F1908" s="4"/>
      <c r="G1908" s="38">
        <f t="shared" si="41"/>
        <v>0</v>
      </c>
    </row>
    <row r="1909" spans="1:7" ht="76.5">
      <c r="A1909" s="38"/>
      <c r="B1909" s="71" t="s">
        <v>1967</v>
      </c>
      <c r="C1909" s="138" t="s">
        <v>1968</v>
      </c>
      <c r="D1909" s="51" t="s">
        <v>75</v>
      </c>
      <c r="E1909" s="61">
        <v>35.53</v>
      </c>
      <c r="F1909" s="4"/>
      <c r="G1909" s="38">
        <f t="shared" si="41"/>
        <v>0</v>
      </c>
    </row>
    <row r="1910" spans="1:7" ht="89.25">
      <c r="A1910" s="38"/>
      <c r="B1910" s="71" t="s">
        <v>1969</v>
      </c>
      <c r="C1910" s="50" t="s">
        <v>1970</v>
      </c>
      <c r="D1910" s="51" t="s">
        <v>75</v>
      </c>
      <c r="E1910" s="61">
        <v>8.2200000000000006</v>
      </c>
      <c r="F1910" s="38"/>
      <c r="G1910" s="38">
        <f t="shared" si="41"/>
        <v>0</v>
      </c>
    </row>
    <row r="1911" spans="1:7" ht="89.25">
      <c r="A1911" s="38"/>
      <c r="B1911" s="71" t="s">
        <v>1971</v>
      </c>
      <c r="C1911" s="50" t="s">
        <v>1972</v>
      </c>
      <c r="D1911" s="51" t="s">
        <v>75</v>
      </c>
      <c r="E1911" s="61">
        <v>6.14</v>
      </c>
      <c r="F1911" s="38"/>
      <c r="G1911" s="38">
        <f t="shared" si="41"/>
        <v>0</v>
      </c>
    </row>
    <row r="1912" spans="1:7" ht="102">
      <c r="A1912" s="38"/>
      <c r="B1912" s="71" t="s">
        <v>1973</v>
      </c>
      <c r="C1912" s="50" t="s">
        <v>1974</v>
      </c>
      <c r="D1912" s="51" t="s">
        <v>75</v>
      </c>
      <c r="E1912" s="61">
        <v>106.13</v>
      </c>
      <c r="F1912" s="38"/>
      <c r="G1912" s="38">
        <f t="shared" si="41"/>
        <v>0</v>
      </c>
    </row>
    <row r="1913" spans="1:7" ht="89.25">
      <c r="A1913" s="38"/>
      <c r="B1913" s="71" t="s">
        <v>1975</v>
      </c>
      <c r="C1913" s="138" t="s">
        <v>1976</v>
      </c>
      <c r="D1913" s="51" t="s">
        <v>84</v>
      </c>
      <c r="E1913" s="61">
        <v>80</v>
      </c>
      <c r="F1913" s="38"/>
      <c r="G1913" s="38">
        <f t="shared" si="41"/>
        <v>0</v>
      </c>
    </row>
    <row r="1914" spans="1:7" ht="76.5">
      <c r="A1914" s="38"/>
      <c r="B1914" s="71" t="s">
        <v>1977</v>
      </c>
      <c r="C1914" s="50" t="s">
        <v>1978</v>
      </c>
      <c r="D1914" s="51" t="s">
        <v>84</v>
      </c>
      <c r="E1914" s="61">
        <v>10</v>
      </c>
      <c r="F1914" s="38"/>
      <c r="G1914" s="38">
        <f t="shared" si="41"/>
        <v>0</v>
      </c>
    </row>
    <row r="1915" spans="1:7">
      <c r="A1915" s="38"/>
      <c r="B1915" s="71"/>
      <c r="C1915" s="50"/>
      <c r="D1915" s="51"/>
      <c r="E1915" s="61"/>
      <c r="F1915" s="38"/>
      <c r="G1915" s="38">
        <f t="shared" si="41"/>
        <v>0</v>
      </c>
    </row>
    <row r="1916" spans="1:7">
      <c r="A1916" s="38"/>
      <c r="B1916" s="71" t="s">
        <v>1979</v>
      </c>
      <c r="C1916" s="55" t="s">
        <v>123</v>
      </c>
      <c r="D1916" s="56"/>
      <c r="E1916" s="62">
        <v>0</v>
      </c>
      <c r="F1916" s="38"/>
      <c r="G1916" s="38">
        <f t="shared" si="41"/>
        <v>0</v>
      </c>
    </row>
    <row r="1917" spans="1:7" ht="127.5">
      <c r="A1917" s="38"/>
      <c r="B1917" s="71" t="s">
        <v>1980</v>
      </c>
      <c r="C1917" s="138" t="s">
        <v>1981</v>
      </c>
      <c r="D1917" s="51" t="s">
        <v>75</v>
      </c>
      <c r="E1917" s="61">
        <v>125.72</v>
      </c>
      <c r="F1917" s="38"/>
      <c r="G1917" s="38">
        <f t="shared" si="41"/>
        <v>0</v>
      </c>
    </row>
    <row r="1918" spans="1:7" ht="76.5">
      <c r="A1918" s="38"/>
      <c r="B1918" s="71" t="s">
        <v>1982</v>
      </c>
      <c r="C1918" s="138" t="s">
        <v>1983</v>
      </c>
      <c r="D1918" s="51" t="s">
        <v>75</v>
      </c>
      <c r="E1918" s="61">
        <v>124.76</v>
      </c>
      <c r="F1918" s="38"/>
      <c r="G1918" s="38">
        <f t="shared" si="41"/>
        <v>0</v>
      </c>
    </row>
    <row r="1919" spans="1:7" ht="102">
      <c r="A1919" s="38"/>
      <c r="B1919" s="71" t="s">
        <v>1984</v>
      </c>
      <c r="C1919" s="50" t="s">
        <v>1985</v>
      </c>
      <c r="D1919" s="51" t="s">
        <v>84</v>
      </c>
      <c r="E1919" s="61">
        <v>3.2</v>
      </c>
      <c r="F1919" s="38"/>
      <c r="G1919" s="38">
        <f t="shared" si="41"/>
        <v>0</v>
      </c>
    </row>
    <row r="1920" spans="1:7" ht="89.25">
      <c r="A1920" s="38"/>
      <c r="B1920" s="71" t="s">
        <v>1986</v>
      </c>
      <c r="C1920" s="50" t="s">
        <v>1972</v>
      </c>
      <c r="D1920" s="51" t="s">
        <v>75</v>
      </c>
      <c r="E1920" s="61">
        <v>0.96</v>
      </c>
      <c r="F1920" s="38"/>
      <c r="G1920" s="38">
        <f t="shared" si="41"/>
        <v>0</v>
      </c>
    </row>
    <row r="1921" spans="1:7" ht="51">
      <c r="A1921" s="38"/>
      <c r="B1921" s="71" t="s">
        <v>1987</v>
      </c>
      <c r="C1921" s="50" t="s">
        <v>1816</v>
      </c>
      <c r="D1921" s="51" t="s">
        <v>140</v>
      </c>
      <c r="E1921" s="61">
        <v>3</v>
      </c>
      <c r="F1921" s="38"/>
      <c r="G1921" s="38">
        <f t="shared" si="41"/>
        <v>0</v>
      </c>
    </row>
    <row r="1922" spans="1:7">
      <c r="A1922" s="38"/>
      <c r="B1922" s="71"/>
      <c r="C1922" s="50"/>
      <c r="D1922" s="51"/>
      <c r="E1922" s="61"/>
      <c r="F1922" s="38"/>
      <c r="G1922" s="38">
        <f t="shared" si="41"/>
        <v>0</v>
      </c>
    </row>
    <row r="1923" spans="1:7">
      <c r="A1923" s="38"/>
      <c r="B1923" s="145" t="s">
        <v>1988</v>
      </c>
      <c r="C1923" s="55" t="s">
        <v>146</v>
      </c>
      <c r="D1923" s="56"/>
      <c r="E1923" s="62">
        <v>0</v>
      </c>
      <c r="F1923" s="38"/>
      <c r="G1923" s="38">
        <f t="shared" si="41"/>
        <v>0</v>
      </c>
    </row>
    <row r="1924" spans="1:7" ht="242.25">
      <c r="A1924" s="38"/>
      <c r="B1924" s="145" t="s">
        <v>1989</v>
      </c>
      <c r="C1924" s="97" t="s">
        <v>1990</v>
      </c>
      <c r="D1924" s="51" t="s">
        <v>140</v>
      </c>
      <c r="E1924" s="61">
        <v>6</v>
      </c>
      <c r="F1924" s="38"/>
      <c r="G1924" s="38">
        <f t="shared" si="41"/>
        <v>0</v>
      </c>
    </row>
    <row r="1925" spans="1:7">
      <c r="A1925" s="38"/>
      <c r="B1925" s="71"/>
      <c r="C1925" s="50"/>
      <c r="D1925" s="51"/>
      <c r="E1925" s="61"/>
      <c r="F1925" s="38"/>
      <c r="G1925" s="38">
        <f t="shared" si="41"/>
        <v>0</v>
      </c>
    </row>
    <row r="1926" spans="1:7">
      <c r="A1926" s="38"/>
      <c r="B1926" s="145" t="s">
        <v>1991</v>
      </c>
      <c r="C1926" s="55" t="s">
        <v>1992</v>
      </c>
      <c r="D1926" s="51"/>
      <c r="E1926" s="61"/>
      <c r="F1926" s="38"/>
      <c r="G1926" s="38">
        <f t="shared" si="41"/>
        <v>0</v>
      </c>
    </row>
    <row r="1927" spans="1:7" ht="204">
      <c r="A1927" s="38"/>
      <c r="B1927" s="71" t="s">
        <v>1993</v>
      </c>
      <c r="C1927" s="50" t="s">
        <v>1994</v>
      </c>
      <c r="D1927" s="51" t="s">
        <v>140</v>
      </c>
      <c r="E1927" s="51">
        <v>1</v>
      </c>
      <c r="F1927" s="38"/>
      <c r="G1927" s="38">
        <f t="shared" si="41"/>
        <v>0</v>
      </c>
    </row>
    <row r="1928" spans="1:7">
      <c r="A1928" s="38"/>
      <c r="B1928" s="71"/>
      <c r="C1928" s="50"/>
      <c r="D1928" s="51"/>
      <c r="E1928" s="61"/>
      <c r="F1928" s="38"/>
      <c r="G1928" s="38">
        <f t="shared" si="41"/>
        <v>0</v>
      </c>
    </row>
    <row r="1929" spans="1:7">
      <c r="A1929" s="38"/>
      <c r="B1929" s="71" t="s">
        <v>1995</v>
      </c>
      <c r="C1929" s="55" t="s">
        <v>151</v>
      </c>
      <c r="D1929" s="56"/>
      <c r="E1929" s="62">
        <v>0</v>
      </c>
      <c r="F1929" s="38"/>
      <c r="G1929" s="38">
        <f t="shared" si="41"/>
        <v>0</v>
      </c>
    </row>
    <row r="1930" spans="1:7" ht="89.25">
      <c r="A1930" s="38"/>
      <c r="B1930" s="145" t="s">
        <v>1996</v>
      </c>
      <c r="C1930" s="50" t="s">
        <v>1997</v>
      </c>
      <c r="D1930" s="51" t="s">
        <v>140</v>
      </c>
      <c r="E1930" s="61">
        <v>8</v>
      </c>
      <c r="F1930" s="38"/>
      <c r="G1930" s="38">
        <f t="shared" si="41"/>
        <v>0</v>
      </c>
    </row>
    <row r="1931" spans="1:7" ht="38.25">
      <c r="A1931" s="38"/>
      <c r="B1931" s="145" t="s">
        <v>1998</v>
      </c>
      <c r="C1931" s="143" t="s">
        <v>1999</v>
      </c>
      <c r="D1931" s="144" t="s">
        <v>140</v>
      </c>
      <c r="E1931" s="140">
        <v>5</v>
      </c>
      <c r="F1931" s="38"/>
      <c r="G1931" s="38">
        <f t="shared" si="41"/>
        <v>0</v>
      </c>
    </row>
    <row r="1932" spans="1:7" ht="38.25">
      <c r="A1932" s="38"/>
      <c r="B1932" s="145" t="s">
        <v>2000</v>
      </c>
      <c r="C1932" s="143" t="s">
        <v>2001</v>
      </c>
      <c r="D1932" s="144" t="s">
        <v>1898</v>
      </c>
      <c r="E1932" s="140">
        <v>1</v>
      </c>
      <c r="F1932" s="38"/>
      <c r="G1932" s="38">
        <f t="shared" si="41"/>
        <v>0</v>
      </c>
    </row>
    <row r="1933" spans="1:7">
      <c r="A1933" s="38"/>
      <c r="B1933" s="71"/>
      <c r="C1933" s="50"/>
      <c r="D1933" s="51"/>
      <c r="E1933" s="61"/>
      <c r="F1933" s="38"/>
      <c r="G1933" s="38">
        <f t="shared" si="41"/>
        <v>0</v>
      </c>
    </row>
    <row r="1934" spans="1:7">
      <c r="A1934" s="38"/>
      <c r="B1934" s="71" t="s">
        <v>2002</v>
      </c>
      <c r="C1934" s="55" t="s">
        <v>1840</v>
      </c>
      <c r="D1934" s="56"/>
      <c r="E1934" s="62">
        <v>0</v>
      </c>
      <c r="F1934" s="38"/>
      <c r="G1934" s="38">
        <f t="shared" si="41"/>
        <v>0</v>
      </c>
    </row>
    <row r="1935" spans="1:7" ht="114.75">
      <c r="A1935" s="38"/>
      <c r="B1935" s="71" t="s">
        <v>2003</v>
      </c>
      <c r="C1935" s="50" t="s">
        <v>2004</v>
      </c>
      <c r="D1935" s="51" t="s">
        <v>140</v>
      </c>
      <c r="E1935" s="61">
        <v>1</v>
      </c>
      <c r="F1935" s="38"/>
      <c r="G1935" s="38">
        <f t="shared" si="41"/>
        <v>0</v>
      </c>
    </row>
    <row r="1936" spans="1:7" ht="102">
      <c r="A1936" s="38"/>
      <c r="B1936" s="71" t="s">
        <v>2005</v>
      </c>
      <c r="C1936" s="50" t="s">
        <v>2006</v>
      </c>
      <c r="D1936" s="51" t="s">
        <v>140</v>
      </c>
      <c r="E1936" s="61">
        <v>1</v>
      </c>
      <c r="F1936" s="38"/>
      <c r="G1936" s="38">
        <f t="shared" si="41"/>
        <v>0</v>
      </c>
    </row>
    <row r="1937" spans="1:7" ht="25.5">
      <c r="A1937" s="38"/>
      <c r="B1937" s="71" t="s">
        <v>2705</v>
      </c>
      <c r="C1937" s="132" t="s">
        <v>2698</v>
      </c>
      <c r="D1937" s="51" t="s">
        <v>140</v>
      </c>
      <c r="E1937" s="61">
        <v>2</v>
      </c>
      <c r="F1937" s="38"/>
      <c r="G1937" s="38">
        <f t="shared" ref="G1937" si="42">E1937*F1937</f>
        <v>0</v>
      </c>
    </row>
    <row r="1938" spans="1:7">
      <c r="A1938" s="38"/>
      <c r="B1938" s="71"/>
      <c r="C1938" s="50"/>
      <c r="D1938" s="51"/>
      <c r="E1938" s="61"/>
      <c r="F1938" s="38"/>
      <c r="G1938" s="38">
        <f t="shared" si="41"/>
        <v>0</v>
      </c>
    </row>
    <row r="1939" spans="1:7">
      <c r="A1939" s="38"/>
      <c r="B1939" s="71" t="s">
        <v>2007</v>
      </c>
      <c r="C1939" s="55" t="s">
        <v>202</v>
      </c>
      <c r="D1939" s="56"/>
      <c r="E1939" s="62">
        <v>0</v>
      </c>
      <c r="F1939" s="38"/>
      <c r="G1939" s="38">
        <f t="shared" si="41"/>
        <v>0</v>
      </c>
    </row>
    <row r="1940" spans="1:7" ht="76.5">
      <c r="A1940" s="38"/>
      <c r="B1940" s="71" t="s">
        <v>2008</v>
      </c>
      <c r="C1940" s="50" t="s">
        <v>2009</v>
      </c>
      <c r="D1940" s="51" t="s">
        <v>84</v>
      </c>
      <c r="E1940" s="61">
        <v>3.2</v>
      </c>
      <c r="F1940" s="38"/>
      <c r="G1940" s="38">
        <f>E1940*F1940</f>
        <v>0</v>
      </c>
    </row>
    <row r="1941" spans="1:7">
      <c r="E1941" s="157"/>
      <c r="F1941" s="1"/>
      <c r="G1941" s="1"/>
    </row>
    <row r="1942" spans="1:7">
      <c r="A1942" s="38"/>
      <c r="B1942" s="72" t="s">
        <v>2010</v>
      </c>
      <c r="C1942" s="48"/>
      <c r="D1942" s="15"/>
      <c r="E1942" s="122"/>
      <c r="F1942" s="54"/>
      <c r="G1942" s="58">
        <f>SUM(G1880:G1941)</f>
        <v>0</v>
      </c>
    </row>
    <row r="1943" spans="1:7">
      <c r="E1943" s="157"/>
      <c r="F1943" s="1"/>
      <c r="G1943" s="1"/>
    </row>
    <row r="1944" spans="1:7">
      <c r="A1944" s="38"/>
      <c r="B1944" s="141">
        <v>3.23</v>
      </c>
      <c r="C1944" s="72" t="s">
        <v>2011</v>
      </c>
      <c r="D1944" s="49"/>
      <c r="E1944" s="60">
        <v>0</v>
      </c>
      <c r="F1944" s="129"/>
      <c r="G1944" s="129"/>
    </row>
    <row r="1945" spans="1:7">
      <c r="A1945" s="38"/>
      <c r="B1945" s="128"/>
      <c r="C1945" s="116"/>
      <c r="D1945" s="56"/>
      <c r="E1945" s="62"/>
      <c r="F1945" s="38"/>
      <c r="G1945" s="38"/>
    </row>
    <row r="1946" spans="1:7" ht="38.25">
      <c r="A1946" s="38"/>
      <c r="B1946" s="128"/>
      <c r="C1946" s="132" t="s">
        <v>60</v>
      </c>
      <c r="D1946" s="56"/>
      <c r="E1946" s="62"/>
      <c r="F1946" s="38"/>
      <c r="G1946" s="38">
        <f t="shared" ref="G1946:G2003" si="43">E1946*F1946</f>
        <v>0</v>
      </c>
    </row>
    <row r="1947" spans="1:7">
      <c r="A1947" s="38"/>
      <c r="B1947" s="128"/>
      <c r="C1947" s="116"/>
      <c r="D1947" s="56"/>
      <c r="E1947" s="62"/>
      <c r="F1947" s="38"/>
      <c r="G1947" s="38">
        <f t="shared" si="43"/>
        <v>0</v>
      </c>
    </row>
    <row r="1948" spans="1:7">
      <c r="A1948" s="38"/>
      <c r="B1948" s="71" t="s">
        <v>2012</v>
      </c>
      <c r="C1948" s="55" t="s">
        <v>62</v>
      </c>
      <c r="D1948" s="56"/>
      <c r="E1948" s="62">
        <v>0</v>
      </c>
      <c r="F1948" s="38"/>
      <c r="G1948" s="38">
        <f t="shared" si="43"/>
        <v>0</v>
      </c>
    </row>
    <row r="1949" spans="1:7" ht="191.25">
      <c r="A1949" s="38"/>
      <c r="B1949" s="71" t="s">
        <v>2013</v>
      </c>
      <c r="C1949" s="138" t="s">
        <v>64</v>
      </c>
      <c r="D1949" s="132" t="s">
        <v>38</v>
      </c>
      <c r="E1949" s="147">
        <v>1</v>
      </c>
      <c r="F1949" s="38"/>
      <c r="G1949" s="38">
        <f t="shared" si="43"/>
        <v>0</v>
      </c>
    </row>
    <row r="1950" spans="1:7" ht="51">
      <c r="A1950" s="38"/>
      <c r="B1950" s="71" t="s">
        <v>2014</v>
      </c>
      <c r="C1950" s="132" t="s">
        <v>1929</v>
      </c>
      <c r="D1950" s="132" t="s">
        <v>84</v>
      </c>
      <c r="E1950" s="147">
        <v>341.63</v>
      </c>
      <c r="F1950" s="38"/>
      <c r="G1950" s="38">
        <f t="shared" si="43"/>
        <v>0</v>
      </c>
    </row>
    <row r="1951" spans="1:7" ht="38.25">
      <c r="A1951" s="38"/>
      <c r="B1951" s="71" t="s">
        <v>2015</v>
      </c>
      <c r="C1951" s="132" t="s">
        <v>1931</v>
      </c>
      <c r="D1951" s="132" t="s">
        <v>84</v>
      </c>
      <c r="E1951" s="147">
        <v>341.63</v>
      </c>
      <c r="F1951" s="38"/>
      <c r="G1951" s="38">
        <f t="shared" si="43"/>
        <v>0</v>
      </c>
    </row>
    <row r="1952" spans="1:7" ht="63.75">
      <c r="A1952" s="38"/>
      <c r="B1952" s="71" t="s">
        <v>2016</v>
      </c>
      <c r="C1952" s="132" t="s">
        <v>1933</v>
      </c>
      <c r="D1952" s="132" t="s">
        <v>84</v>
      </c>
      <c r="E1952" s="132">
        <v>277.5</v>
      </c>
      <c r="F1952" s="38"/>
      <c r="G1952" s="38">
        <f t="shared" si="43"/>
        <v>0</v>
      </c>
    </row>
    <row r="1953" spans="1:7" ht="51">
      <c r="A1953" s="38"/>
      <c r="B1953" s="71" t="s">
        <v>2017</v>
      </c>
      <c r="C1953" s="132" t="s">
        <v>1935</v>
      </c>
      <c r="D1953" s="51" t="s">
        <v>75</v>
      </c>
      <c r="E1953" s="61">
        <v>186.78</v>
      </c>
      <c r="F1953" s="38"/>
      <c r="G1953" s="38">
        <f t="shared" si="43"/>
        <v>0</v>
      </c>
    </row>
    <row r="1954" spans="1:7" ht="38.25">
      <c r="A1954" s="38"/>
      <c r="B1954" s="71" t="s">
        <v>2018</v>
      </c>
      <c r="C1954" s="132" t="s">
        <v>1937</v>
      </c>
      <c r="D1954" s="51" t="s">
        <v>75</v>
      </c>
      <c r="E1954" s="61">
        <v>168.27</v>
      </c>
      <c r="F1954" s="38"/>
      <c r="G1954" s="38">
        <f t="shared" si="43"/>
        <v>0</v>
      </c>
    </row>
    <row r="1955" spans="1:7">
      <c r="A1955" s="38"/>
      <c r="B1955" s="71"/>
      <c r="C1955" s="50"/>
      <c r="D1955" s="51"/>
      <c r="E1955" s="61"/>
      <c r="F1955" s="38"/>
      <c r="G1955" s="38">
        <f t="shared" si="43"/>
        <v>0</v>
      </c>
    </row>
    <row r="1956" spans="1:7">
      <c r="A1956" s="38"/>
      <c r="B1956" s="145" t="s">
        <v>2019</v>
      </c>
      <c r="C1956" s="55" t="s">
        <v>66</v>
      </c>
      <c r="D1956" s="56"/>
      <c r="E1956" s="62">
        <v>0</v>
      </c>
      <c r="F1956" s="13"/>
      <c r="G1956" s="38">
        <f t="shared" si="43"/>
        <v>0</v>
      </c>
    </row>
    <row r="1957" spans="1:7" ht="38.25">
      <c r="A1957" s="38"/>
      <c r="B1957" s="145" t="s">
        <v>2020</v>
      </c>
      <c r="C1957" s="138" t="s">
        <v>1940</v>
      </c>
      <c r="D1957" s="132" t="s">
        <v>38</v>
      </c>
      <c r="E1957" s="130" t="s">
        <v>1312</v>
      </c>
      <c r="F1957" s="4"/>
      <c r="G1957" s="38">
        <f t="shared" si="43"/>
        <v>0</v>
      </c>
    </row>
    <row r="1958" spans="1:7" ht="63.75">
      <c r="A1958" s="38"/>
      <c r="B1958" s="145" t="s">
        <v>2021</v>
      </c>
      <c r="C1958" s="138" t="s">
        <v>1942</v>
      </c>
      <c r="D1958" s="132" t="s">
        <v>38</v>
      </c>
      <c r="E1958" s="130" t="s">
        <v>1312</v>
      </c>
      <c r="F1958" s="4"/>
      <c r="G1958" s="38">
        <f t="shared" si="43"/>
        <v>0</v>
      </c>
    </row>
    <row r="1959" spans="1:7">
      <c r="A1959" s="38"/>
      <c r="B1959" s="71"/>
      <c r="C1959" s="50"/>
      <c r="D1959" s="51"/>
      <c r="E1959" s="61"/>
      <c r="F1959" s="38"/>
      <c r="G1959" s="38">
        <f t="shared" si="43"/>
        <v>0</v>
      </c>
    </row>
    <row r="1960" spans="1:7">
      <c r="A1960" s="38"/>
      <c r="B1960" s="145" t="s">
        <v>2022</v>
      </c>
      <c r="C1960" s="55" t="s">
        <v>72</v>
      </c>
      <c r="D1960" s="56"/>
      <c r="E1960" s="62">
        <v>0</v>
      </c>
      <c r="F1960" s="38"/>
      <c r="G1960" s="38">
        <f t="shared" si="43"/>
        <v>0</v>
      </c>
    </row>
    <row r="1961" spans="1:7" ht="76.5">
      <c r="A1961" s="38"/>
      <c r="B1961" s="145" t="s">
        <v>2023</v>
      </c>
      <c r="C1961" s="138" t="s">
        <v>1945</v>
      </c>
      <c r="D1961" s="51" t="s">
        <v>75</v>
      </c>
      <c r="E1961" s="112">
        <v>291.25</v>
      </c>
      <c r="F1961" s="38"/>
      <c r="G1961" s="38">
        <f t="shared" si="43"/>
        <v>0</v>
      </c>
    </row>
    <row r="1962" spans="1:7" ht="63.75">
      <c r="A1962" s="38"/>
      <c r="B1962" s="145" t="s">
        <v>2024</v>
      </c>
      <c r="C1962" s="132" t="s">
        <v>2025</v>
      </c>
      <c r="D1962" s="51" t="s">
        <v>75</v>
      </c>
      <c r="E1962" s="112">
        <v>291.25</v>
      </c>
      <c r="F1962" s="38"/>
      <c r="G1962" s="38">
        <f t="shared" si="43"/>
        <v>0</v>
      </c>
    </row>
    <row r="1963" spans="1:7" ht="63.75">
      <c r="A1963" s="38"/>
      <c r="B1963" s="145" t="s">
        <v>2026</v>
      </c>
      <c r="C1963" s="132" t="s">
        <v>2027</v>
      </c>
      <c r="D1963" s="51" t="s">
        <v>75</v>
      </c>
      <c r="E1963" s="112">
        <v>291.25</v>
      </c>
      <c r="F1963" s="38"/>
      <c r="G1963" s="38">
        <f t="shared" si="43"/>
        <v>0</v>
      </c>
    </row>
    <row r="1964" spans="1:7" ht="63.75">
      <c r="A1964" s="38"/>
      <c r="B1964" s="145" t="s">
        <v>2028</v>
      </c>
      <c r="C1964" s="132" t="s">
        <v>1951</v>
      </c>
      <c r="D1964" s="51" t="s">
        <v>84</v>
      </c>
      <c r="E1964" s="61">
        <v>264.57</v>
      </c>
      <c r="F1964" s="38"/>
      <c r="G1964" s="38">
        <f t="shared" si="43"/>
        <v>0</v>
      </c>
    </row>
    <row r="1965" spans="1:7" ht="76.5">
      <c r="A1965" s="38"/>
      <c r="B1965" s="145" t="s">
        <v>2029</v>
      </c>
      <c r="C1965" s="132" t="s">
        <v>2030</v>
      </c>
      <c r="D1965" s="51" t="s">
        <v>75</v>
      </c>
      <c r="E1965" s="61">
        <v>68.84</v>
      </c>
      <c r="F1965" s="38"/>
      <c r="G1965" s="38">
        <f t="shared" si="43"/>
        <v>0</v>
      </c>
    </row>
    <row r="1966" spans="1:7" ht="63.75">
      <c r="A1966" s="38"/>
      <c r="B1966" s="145" t="s">
        <v>2031</v>
      </c>
      <c r="C1966" s="138" t="s">
        <v>1955</v>
      </c>
      <c r="D1966" s="131" t="s">
        <v>84</v>
      </c>
      <c r="E1966" s="61">
        <v>20.2</v>
      </c>
      <c r="F1966" s="38"/>
      <c r="G1966" s="38">
        <f t="shared" si="43"/>
        <v>0</v>
      </c>
    </row>
    <row r="1967" spans="1:7">
      <c r="A1967" s="38"/>
      <c r="B1967" s="71"/>
      <c r="C1967" s="50"/>
      <c r="D1967" s="51"/>
      <c r="E1967" s="61"/>
      <c r="F1967" s="38"/>
      <c r="G1967" s="38">
        <f t="shared" si="43"/>
        <v>0</v>
      </c>
    </row>
    <row r="1968" spans="1:7">
      <c r="A1968" s="38"/>
      <c r="B1968" s="71" t="s">
        <v>2032</v>
      </c>
      <c r="C1968" s="55" t="s">
        <v>93</v>
      </c>
      <c r="D1968" s="56"/>
      <c r="E1968" s="62">
        <v>0</v>
      </c>
      <c r="F1968" s="38"/>
      <c r="G1968" s="38">
        <f t="shared" si="43"/>
        <v>0</v>
      </c>
    </row>
    <row r="1969" spans="1:7" ht="63.75">
      <c r="A1969" s="38"/>
      <c r="B1969" s="71" t="s">
        <v>2033</v>
      </c>
      <c r="C1969" s="138" t="s">
        <v>1958</v>
      </c>
      <c r="D1969" s="51" t="s">
        <v>75</v>
      </c>
      <c r="E1969" s="112">
        <v>31.83</v>
      </c>
      <c r="F1969" s="4"/>
      <c r="G1969" s="38">
        <f t="shared" si="43"/>
        <v>0</v>
      </c>
    </row>
    <row r="1970" spans="1:7" ht="76.5">
      <c r="A1970" s="38"/>
      <c r="B1970" s="71" t="s">
        <v>2034</v>
      </c>
      <c r="C1970" s="132" t="s">
        <v>1960</v>
      </c>
      <c r="D1970" s="132" t="s">
        <v>75</v>
      </c>
      <c r="E1970" s="112">
        <v>63.66</v>
      </c>
      <c r="F1970" s="4"/>
      <c r="G1970" s="38">
        <f t="shared" si="43"/>
        <v>0</v>
      </c>
    </row>
    <row r="1971" spans="1:7" ht="89.25">
      <c r="A1971" s="38"/>
      <c r="B1971" s="71" t="s">
        <v>2035</v>
      </c>
      <c r="C1971" s="132" t="s">
        <v>1962</v>
      </c>
      <c r="D1971" s="132" t="s">
        <v>75</v>
      </c>
      <c r="E1971" s="112">
        <v>745.28</v>
      </c>
      <c r="F1971" s="38"/>
      <c r="G1971" s="38">
        <f t="shared" si="43"/>
        <v>0</v>
      </c>
    </row>
    <row r="1972" spans="1:7" ht="76.5">
      <c r="A1972" s="38"/>
      <c r="B1972" s="71" t="s">
        <v>2036</v>
      </c>
      <c r="C1972" s="138" t="s">
        <v>2037</v>
      </c>
      <c r="D1972" s="138" t="s">
        <v>75</v>
      </c>
      <c r="E1972" s="148">
        <v>101.3</v>
      </c>
      <c r="F1972" s="38"/>
      <c r="G1972" s="38">
        <f t="shared" si="43"/>
        <v>0</v>
      </c>
    </row>
    <row r="1973" spans="1:7" ht="51">
      <c r="A1973" s="38"/>
      <c r="B1973" s="71" t="s">
        <v>2038</v>
      </c>
      <c r="C1973" s="132" t="s">
        <v>1966</v>
      </c>
      <c r="D1973" s="132" t="s">
        <v>91</v>
      </c>
      <c r="E1973" s="132">
        <v>2</v>
      </c>
      <c r="F1973" s="4"/>
      <c r="G1973" s="38">
        <f t="shared" si="43"/>
        <v>0</v>
      </c>
    </row>
    <row r="1974" spans="1:7" ht="89.25">
      <c r="A1974" s="38"/>
      <c r="B1974" s="71" t="s">
        <v>2039</v>
      </c>
      <c r="C1974" s="132" t="s">
        <v>2040</v>
      </c>
      <c r="D1974" s="51" t="s">
        <v>75</v>
      </c>
      <c r="E1974" s="61">
        <v>32.43</v>
      </c>
      <c r="F1974" s="38"/>
      <c r="G1974" s="38">
        <f t="shared" si="43"/>
        <v>0</v>
      </c>
    </row>
    <row r="1975" spans="1:7" ht="89.25">
      <c r="A1975" s="38"/>
      <c r="B1975" s="71" t="s">
        <v>2041</v>
      </c>
      <c r="C1975" s="132" t="s">
        <v>2042</v>
      </c>
      <c r="D1975" s="51" t="s">
        <v>75</v>
      </c>
      <c r="E1975" s="61">
        <v>91.04</v>
      </c>
      <c r="F1975" s="38"/>
      <c r="G1975" s="38">
        <f t="shared" si="43"/>
        <v>0</v>
      </c>
    </row>
    <row r="1976" spans="1:7" ht="102">
      <c r="A1976" s="38"/>
      <c r="B1976" s="71" t="s">
        <v>2043</v>
      </c>
      <c r="C1976" s="132" t="s">
        <v>1974</v>
      </c>
      <c r="D1976" s="51" t="s">
        <v>75</v>
      </c>
      <c r="E1976" s="61">
        <v>661.43</v>
      </c>
      <c r="F1976" s="38"/>
      <c r="G1976" s="38">
        <f t="shared" si="43"/>
        <v>0</v>
      </c>
    </row>
    <row r="1977" spans="1:7" ht="89.25">
      <c r="A1977" s="38"/>
      <c r="B1977" s="71" t="s">
        <v>2044</v>
      </c>
      <c r="C1977" s="138" t="s">
        <v>1976</v>
      </c>
      <c r="D1977" s="51" t="s">
        <v>84</v>
      </c>
      <c r="E1977" s="61">
        <v>287.5</v>
      </c>
      <c r="F1977" s="38"/>
      <c r="G1977" s="38">
        <f t="shared" si="43"/>
        <v>0</v>
      </c>
    </row>
    <row r="1978" spans="1:7">
      <c r="A1978" s="38"/>
      <c r="B1978" s="71"/>
      <c r="C1978" s="50"/>
      <c r="D1978" s="51"/>
      <c r="E1978" s="61"/>
      <c r="F1978" s="38"/>
      <c r="G1978" s="38">
        <f t="shared" si="43"/>
        <v>0</v>
      </c>
    </row>
    <row r="1979" spans="1:7">
      <c r="A1979" s="38"/>
      <c r="B1979" s="71" t="s">
        <v>2045</v>
      </c>
      <c r="C1979" s="55" t="s">
        <v>123</v>
      </c>
      <c r="D1979" s="56"/>
      <c r="E1979" s="62">
        <v>0</v>
      </c>
      <c r="F1979" s="38"/>
      <c r="G1979" s="38">
        <f t="shared" si="43"/>
        <v>0</v>
      </c>
    </row>
    <row r="1980" spans="1:7" ht="127.5">
      <c r="A1980" s="38"/>
      <c r="B1980" s="71" t="s">
        <v>2046</v>
      </c>
      <c r="C1980" s="138" t="s">
        <v>1981</v>
      </c>
      <c r="D1980" s="51" t="s">
        <v>75</v>
      </c>
      <c r="E1980" s="61">
        <v>355.05</v>
      </c>
      <c r="F1980" s="38"/>
      <c r="G1980" s="38">
        <f t="shared" si="43"/>
        <v>0</v>
      </c>
    </row>
    <row r="1981" spans="1:7" ht="76.5">
      <c r="A1981" s="38"/>
      <c r="B1981" s="71" t="s">
        <v>2047</v>
      </c>
      <c r="C1981" s="138" t="s">
        <v>1983</v>
      </c>
      <c r="D1981" s="51" t="s">
        <v>75</v>
      </c>
      <c r="E1981" s="61">
        <v>338.85</v>
      </c>
      <c r="F1981" s="38"/>
      <c r="G1981" s="38">
        <f t="shared" si="43"/>
        <v>0</v>
      </c>
    </row>
    <row r="1982" spans="1:7" ht="102">
      <c r="A1982" s="38"/>
      <c r="B1982" s="71" t="s">
        <v>2048</v>
      </c>
      <c r="C1982" s="132" t="s">
        <v>2049</v>
      </c>
      <c r="D1982" s="51" t="s">
        <v>84</v>
      </c>
      <c r="E1982" s="61">
        <v>45.66</v>
      </c>
      <c r="F1982" s="38"/>
      <c r="G1982" s="38">
        <f t="shared" si="43"/>
        <v>0</v>
      </c>
    </row>
    <row r="1983" spans="1:7" ht="89.25">
      <c r="A1983" s="38"/>
      <c r="B1983" s="71" t="s">
        <v>2050</v>
      </c>
      <c r="C1983" s="132" t="s">
        <v>2042</v>
      </c>
      <c r="D1983" s="51" t="s">
        <v>75</v>
      </c>
      <c r="E1983" s="61">
        <v>16.2</v>
      </c>
      <c r="F1983" s="38"/>
      <c r="G1983" s="38">
        <f t="shared" si="43"/>
        <v>0</v>
      </c>
    </row>
    <row r="1984" spans="1:7" ht="51">
      <c r="A1984" s="38"/>
      <c r="B1984" s="71" t="s">
        <v>2051</v>
      </c>
      <c r="C1984" s="132" t="s">
        <v>1816</v>
      </c>
      <c r="D1984" s="51" t="s">
        <v>140</v>
      </c>
      <c r="E1984" s="61">
        <v>14</v>
      </c>
      <c r="F1984" s="38"/>
      <c r="G1984" s="38">
        <f t="shared" si="43"/>
        <v>0</v>
      </c>
    </row>
    <row r="1985" spans="1:7">
      <c r="A1985" s="38"/>
      <c r="B1985" s="71"/>
      <c r="C1985" s="50"/>
      <c r="D1985" s="51"/>
      <c r="E1985" s="61"/>
      <c r="F1985" s="38"/>
      <c r="G1985" s="38">
        <f t="shared" si="43"/>
        <v>0</v>
      </c>
    </row>
    <row r="1986" spans="1:7">
      <c r="A1986" s="38"/>
      <c r="B1986" s="71" t="s">
        <v>2052</v>
      </c>
      <c r="C1986" s="55" t="s">
        <v>146</v>
      </c>
      <c r="D1986" s="56"/>
      <c r="E1986" s="62">
        <v>0</v>
      </c>
      <c r="F1986" s="38"/>
      <c r="G1986" s="38">
        <f t="shared" si="43"/>
        <v>0</v>
      </c>
    </row>
    <row r="1987" spans="1:7" ht="191.25">
      <c r="A1987" s="38"/>
      <c r="B1987" s="71" t="s">
        <v>2053</v>
      </c>
      <c r="C1987" s="146" t="s">
        <v>2054</v>
      </c>
      <c r="D1987" s="144" t="s">
        <v>140</v>
      </c>
      <c r="E1987" s="140">
        <v>4</v>
      </c>
      <c r="F1987" s="38"/>
      <c r="G1987" s="38">
        <f t="shared" si="43"/>
        <v>0</v>
      </c>
    </row>
    <row r="1988" spans="1:7" ht="242.25">
      <c r="A1988" s="38"/>
      <c r="B1988" s="71" t="s">
        <v>2055</v>
      </c>
      <c r="C1988" s="139" t="s">
        <v>2056</v>
      </c>
      <c r="D1988" s="51" t="s">
        <v>140</v>
      </c>
      <c r="E1988" s="140">
        <v>13</v>
      </c>
      <c r="F1988" s="38"/>
      <c r="G1988" s="38">
        <f t="shared" si="43"/>
        <v>0</v>
      </c>
    </row>
    <row r="1989" spans="1:7">
      <c r="A1989" s="38"/>
      <c r="B1989" s="71"/>
      <c r="C1989" s="50"/>
      <c r="D1989" s="51"/>
      <c r="E1989" s="61"/>
      <c r="F1989" s="38"/>
      <c r="G1989" s="38">
        <f t="shared" si="43"/>
        <v>0</v>
      </c>
    </row>
    <row r="1990" spans="1:7">
      <c r="A1990" s="38"/>
      <c r="B1990" s="71" t="s">
        <v>2057</v>
      </c>
      <c r="C1990" s="55" t="s">
        <v>1992</v>
      </c>
      <c r="D1990" s="51"/>
      <c r="E1990" s="61"/>
      <c r="F1990" s="38"/>
      <c r="G1990" s="38">
        <f t="shared" si="43"/>
        <v>0</v>
      </c>
    </row>
    <row r="1991" spans="1:7" ht="191.25">
      <c r="A1991" s="38"/>
      <c r="B1991" s="71" t="s">
        <v>2058</v>
      </c>
      <c r="C1991" s="138" t="s">
        <v>2059</v>
      </c>
      <c r="D1991" s="51" t="s">
        <v>140</v>
      </c>
      <c r="E1991" s="51">
        <v>17</v>
      </c>
      <c r="F1991" s="38"/>
      <c r="G1991" s="38">
        <f t="shared" si="43"/>
        <v>0</v>
      </c>
    </row>
    <row r="1992" spans="1:7">
      <c r="A1992" s="38"/>
      <c r="B1992" s="71"/>
      <c r="C1992" s="50"/>
      <c r="D1992" s="51"/>
      <c r="E1992" s="61"/>
      <c r="F1992" s="38"/>
      <c r="G1992" s="38">
        <f t="shared" si="43"/>
        <v>0</v>
      </c>
    </row>
    <row r="1993" spans="1:7">
      <c r="A1993" s="38"/>
      <c r="B1993" s="71" t="s">
        <v>2060</v>
      </c>
      <c r="C1993" s="55" t="s">
        <v>151</v>
      </c>
      <c r="D1993" s="56"/>
      <c r="E1993" s="62">
        <v>0</v>
      </c>
      <c r="F1993" s="38"/>
      <c r="G1993" s="38">
        <f t="shared" si="43"/>
        <v>0</v>
      </c>
    </row>
    <row r="1994" spans="1:7" ht="89.25">
      <c r="A1994" s="38"/>
      <c r="B1994" s="142" t="s">
        <v>2061</v>
      </c>
      <c r="C1994" s="138" t="s">
        <v>1997</v>
      </c>
      <c r="D1994" s="51" t="s">
        <v>140</v>
      </c>
      <c r="E1994" s="61">
        <v>56</v>
      </c>
      <c r="F1994" s="38"/>
      <c r="G1994" s="38">
        <f t="shared" si="43"/>
        <v>0</v>
      </c>
    </row>
    <row r="1995" spans="1:7" ht="38.25">
      <c r="A1995" s="38"/>
      <c r="B1995" s="142" t="s">
        <v>2062</v>
      </c>
      <c r="C1995" s="138" t="s">
        <v>1999</v>
      </c>
      <c r="D1995" s="144" t="s">
        <v>140</v>
      </c>
      <c r="E1995" s="140">
        <v>5</v>
      </c>
      <c r="F1995" s="38"/>
      <c r="G1995" s="38">
        <f t="shared" si="43"/>
        <v>0</v>
      </c>
    </row>
    <row r="1996" spans="1:7" ht="38.25">
      <c r="A1996" s="38"/>
      <c r="B1996" s="142" t="s">
        <v>2063</v>
      </c>
      <c r="C1996" s="138" t="s">
        <v>2001</v>
      </c>
      <c r="D1996" s="138" t="s">
        <v>1898</v>
      </c>
      <c r="E1996" s="138">
        <v>1</v>
      </c>
      <c r="F1996" s="38"/>
      <c r="G1996" s="38">
        <f t="shared" si="43"/>
        <v>0</v>
      </c>
    </row>
    <row r="1997" spans="1:7">
      <c r="A1997" s="38"/>
      <c r="B1997" s="71"/>
      <c r="C1997" s="50"/>
      <c r="D1997" s="51"/>
      <c r="E1997" s="61"/>
      <c r="F1997" s="38"/>
      <c r="G1997" s="38">
        <f t="shared" si="43"/>
        <v>0</v>
      </c>
    </row>
    <row r="1998" spans="1:7">
      <c r="A1998" s="38"/>
      <c r="B1998" s="71" t="s">
        <v>2064</v>
      </c>
      <c r="C1998" s="55" t="s">
        <v>1840</v>
      </c>
      <c r="D1998" s="56"/>
      <c r="E1998" s="62">
        <v>0</v>
      </c>
      <c r="F1998" s="38"/>
      <c r="G1998" s="38">
        <f t="shared" si="43"/>
        <v>0</v>
      </c>
    </row>
    <row r="1999" spans="1:7" ht="114.75">
      <c r="A1999" s="38"/>
      <c r="B1999" s="71" t="s">
        <v>2065</v>
      </c>
      <c r="C1999" s="138" t="s">
        <v>2004</v>
      </c>
      <c r="D1999" s="138" t="s">
        <v>140</v>
      </c>
      <c r="E1999" s="138">
        <v>1</v>
      </c>
      <c r="F1999" s="38"/>
      <c r="G1999" s="38">
        <f t="shared" si="43"/>
        <v>0</v>
      </c>
    </row>
    <row r="2000" spans="1:7" ht="102">
      <c r="A2000" s="38"/>
      <c r="B2000" s="71" t="s">
        <v>2066</v>
      </c>
      <c r="C2000" s="138" t="s">
        <v>2006</v>
      </c>
      <c r="D2000" s="51" t="s">
        <v>140</v>
      </c>
      <c r="E2000" s="61">
        <v>3</v>
      </c>
      <c r="F2000" s="38"/>
      <c r="G2000" s="38">
        <f t="shared" si="43"/>
        <v>0</v>
      </c>
    </row>
    <row r="2001" spans="1:7" ht="25.5">
      <c r="A2001" s="38"/>
      <c r="B2001" s="71" t="s">
        <v>2704</v>
      </c>
      <c r="C2001" s="132" t="s">
        <v>2698</v>
      </c>
      <c r="D2001" s="51" t="s">
        <v>140</v>
      </c>
      <c r="E2001" s="61">
        <v>4</v>
      </c>
      <c r="F2001" s="38"/>
      <c r="G2001" s="38">
        <f t="shared" ref="G2001" si="44">E2001*F2001</f>
        <v>0</v>
      </c>
    </row>
    <row r="2002" spans="1:7">
      <c r="A2002" s="38"/>
      <c r="B2002" s="71"/>
      <c r="C2002" s="50"/>
      <c r="D2002" s="51"/>
      <c r="E2002" s="61"/>
      <c r="F2002" s="38"/>
      <c r="G2002" s="38">
        <f t="shared" si="43"/>
        <v>0</v>
      </c>
    </row>
    <row r="2003" spans="1:7">
      <c r="A2003" s="38"/>
      <c r="B2003" s="71" t="s">
        <v>2067</v>
      </c>
      <c r="C2003" s="55" t="s">
        <v>202</v>
      </c>
      <c r="D2003" s="56"/>
      <c r="E2003" s="62">
        <v>0</v>
      </c>
      <c r="F2003" s="38"/>
      <c r="G2003" s="38">
        <f t="shared" si="43"/>
        <v>0</v>
      </c>
    </row>
    <row r="2004" spans="1:7" ht="63.75">
      <c r="A2004" s="38"/>
      <c r="B2004" s="71" t="s">
        <v>2068</v>
      </c>
      <c r="C2004" s="138" t="s">
        <v>2069</v>
      </c>
      <c r="D2004" s="51" t="s">
        <v>84</v>
      </c>
      <c r="E2004" s="61">
        <v>45.66</v>
      </c>
      <c r="F2004" s="38"/>
      <c r="G2004" s="38">
        <f>E2004*F2004</f>
        <v>0</v>
      </c>
    </row>
    <row r="2005" spans="1:7">
      <c r="E2005" s="157"/>
      <c r="F2005" s="1"/>
      <c r="G2005" s="1"/>
    </row>
    <row r="2006" spans="1:7">
      <c r="A2006" s="38"/>
      <c r="B2006" s="72" t="s">
        <v>2070</v>
      </c>
      <c r="C2006" s="48"/>
      <c r="D2006" s="15"/>
      <c r="E2006" s="122"/>
      <c r="F2006" s="54"/>
      <c r="G2006" s="58">
        <f>SUM(G1945:G2005)</f>
        <v>0</v>
      </c>
    </row>
    <row r="2007" spans="1:7">
      <c r="E2007" s="157"/>
      <c r="F2007" s="1"/>
      <c r="G2007" s="1"/>
    </row>
    <row r="2008" spans="1:7">
      <c r="A2008" s="38"/>
      <c r="B2008" s="141">
        <v>3.24</v>
      </c>
      <c r="C2008" s="72" t="s">
        <v>2071</v>
      </c>
      <c r="D2008" s="49"/>
      <c r="E2008" s="60">
        <v>0</v>
      </c>
      <c r="F2008" s="129"/>
      <c r="G2008" s="129"/>
    </row>
    <row r="2009" spans="1:7">
      <c r="A2009" s="38"/>
      <c r="B2009" s="128"/>
      <c r="C2009" s="116"/>
      <c r="D2009" s="56"/>
      <c r="E2009" s="62"/>
      <c r="F2009" s="38"/>
      <c r="G2009" s="38"/>
    </row>
    <row r="2010" spans="1:7" ht="38.25">
      <c r="A2010" s="38"/>
      <c r="B2010" s="128"/>
      <c r="C2010" s="138" t="s">
        <v>60</v>
      </c>
      <c r="D2010" s="56"/>
      <c r="E2010" s="62"/>
      <c r="F2010" s="38"/>
      <c r="G2010" s="38">
        <f t="shared" ref="G2010:G2067" si="45">E2010*F2010</f>
        <v>0</v>
      </c>
    </row>
    <row r="2011" spans="1:7">
      <c r="A2011" s="38"/>
      <c r="B2011" s="128"/>
      <c r="C2011" s="116"/>
      <c r="D2011" s="56"/>
      <c r="E2011" s="62"/>
      <c r="F2011" s="38"/>
      <c r="G2011" s="38">
        <f t="shared" si="45"/>
        <v>0</v>
      </c>
    </row>
    <row r="2012" spans="1:7">
      <c r="A2012" s="38"/>
      <c r="B2012" s="71" t="s">
        <v>2072</v>
      </c>
      <c r="C2012" s="55" t="s">
        <v>62</v>
      </c>
      <c r="D2012" s="56"/>
      <c r="E2012" s="62">
        <v>0</v>
      </c>
      <c r="F2012" s="38"/>
      <c r="G2012" s="38">
        <f t="shared" si="45"/>
        <v>0</v>
      </c>
    </row>
    <row r="2013" spans="1:7" ht="191.25">
      <c r="A2013" s="38"/>
      <c r="B2013" s="71" t="s">
        <v>2073</v>
      </c>
      <c r="C2013" s="138" t="s">
        <v>64</v>
      </c>
      <c r="D2013" s="51" t="s">
        <v>38</v>
      </c>
      <c r="E2013" s="61">
        <v>1</v>
      </c>
      <c r="F2013" s="38"/>
      <c r="G2013" s="38">
        <f t="shared" si="45"/>
        <v>0</v>
      </c>
    </row>
    <row r="2014" spans="1:7" ht="51">
      <c r="A2014" s="38"/>
      <c r="B2014" s="71" t="s">
        <v>2074</v>
      </c>
      <c r="C2014" s="138" t="s">
        <v>1929</v>
      </c>
      <c r="D2014" s="51" t="s">
        <v>84</v>
      </c>
      <c r="E2014" s="61">
        <v>329.14</v>
      </c>
      <c r="F2014" s="38"/>
      <c r="G2014" s="38">
        <f t="shared" si="45"/>
        <v>0</v>
      </c>
    </row>
    <row r="2015" spans="1:7" ht="38.25">
      <c r="A2015" s="38"/>
      <c r="B2015" s="71" t="s">
        <v>2075</v>
      </c>
      <c r="C2015" s="138" t="s">
        <v>1931</v>
      </c>
      <c r="D2015" s="51" t="s">
        <v>84</v>
      </c>
      <c r="E2015" s="61">
        <v>329.14</v>
      </c>
      <c r="F2015" s="38"/>
      <c r="G2015" s="38">
        <f t="shared" si="45"/>
        <v>0</v>
      </c>
    </row>
    <row r="2016" spans="1:7" ht="63.75">
      <c r="A2016" s="38"/>
      <c r="B2016" s="71" t="s">
        <v>2076</v>
      </c>
      <c r="C2016" s="138" t="s">
        <v>1933</v>
      </c>
      <c r="D2016" s="51" t="s">
        <v>84</v>
      </c>
      <c r="E2016" s="61">
        <v>257.5</v>
      </c>
      <c r="F2016" s="38"/>
      <c r="G2016" s="38">
        <f t="shared" si="45"/>
        <v>0</v>
      </c>
    </row>
    <row r="2017" spans="1:7" ht="51">
      <c r="A2017" s="38"/>
      <c r="B2017" s="71" t="s">
        <v>2077</v>
      </c>
      <c r="C2017" s="138" t="s">
        <v>1935</v>
      </c>
      <c r="D2017" s="51" t="s">
        <v>75</v>
      </c>
      <c r="E2017" s="61">
        <v>187.09</v>
      </c>
      <c r="F2017" s="38"/>
      <c r="G2017" s="38">
        <f t="shared" si="45"/>
        <v>0</v>
      </c>
    </row>
    <row r="2018" spans="1:7" ht="38.25">
      <c r="A2018" s="38"/>
      <c r="B2018" s="71" t="s">
        <v>2078</v>
      </c>
      <c r="C2018" s="138" t="s">
        <v>1937</v>
      </c>
      <c r="D2018" s="51" t="s">
        <v>75</v>
      </c>
      <c r="E2018" s="61">
        <v>163.65</v>
      </c>
      <c r="F2018" s="38"/>
      <c r="G2018" s="38">
        <f t="shared" si="45"/>
        <v>0</v>
      </c>
    </row>
    <row r="2019" spans="1:7">
      <c r="A2019" s="38"/>
      <c r="B2019" s="71"/>
      <c r="C2019" s="50"/>
      <c r="D2019" s="51"/>
      <c r="E2019" s="61"/>
      <c r="F2019" s="38"/>
      <c r="G2019" s="38">
        <f t="shared" si="45"/>
        <v>0</v>
      </c>
    </row>
    <row r="2020" spans="1:7">
      <c r="A2020" s="38"/>
      <c r="B2020" s="71" t="s">
        <v>2079</v>
      </c>
      <c r="C2020" s="55" t="s">
        <v>66</v>
      </c>
      <c r="D2020" s="56"/>
      <c r="E2020" s="62">
        <v>0</v>
      </c>
      <c r="F2020" s="13"/>
      <c r="G2020" s="38">
        <f t="shared" si="45"/>
        <v>0</v>
      </c>
    </row>
    <row r="2021" spans="1:7" ht="38.25">
      <c r="A2021" s="38"/>
      <c r="B2021" s="71" t="s">
        <v>2080</v>
      </c>
      <c r="C2021" s="138" t="s">
        <v>1940</v>
      </c>
      <c r="D2021" s="51" t="s">
        <v>38</v>
      </c>
      <c r="E2021" s="112">
        <v>1</v>
      </c>
      <c r="F2021" s="4"/>
      <c r="G2021" s="38">
        <f t="shared" si="45"/>
        <v>0</v>
      </c>
    </row>
    <row r="2022" spans="1:7" ht="63.75">
      <c r="A2022" s="38"/>
      <c r="B2022" s="71" t="s">
        <v>2081</v>
      </c>
      <c r="C2022" s="138" t="s">
        <v>1942</v>
      </c>
      <c r="D2022" s="51" t="s">
        <v>38</v>
      </c>
      <c r="E2022" s="112">
        <v>1</v>
      </c>
      <c r="F2022" s="4"/>
      <c r="G2022" s="38">
        <f t="shared" si="45"/>
        <v>0</v>
      </c>
    </row>
    <row r="2023" spans="1:7">
      <c r="A2023" s="38"/>
      <c r="B2023" s="71"/>
      <c r="C2023" s="50"/>
      <c r="D2023" s="51"/>
      <c r="E2023" s="61"/>
      <c r="F2023" s="38"/>
      <c r="G2023" s="38">
        <f t="shared" si="45"/>
        <v>0</v>
      </c>
    </row>
    <row r="2024" spans="1:7">
      <c r="A2024" s="38"/>
      <c r="B2024" s="71" t="s">
        <v>2082</v>
      </c>
      <c r="C2024" s="55" t="s">
        <v>72</v>
      </c>
      <c r="D2024" s="56"/>
      <c r="E2024" s="62">
        <v>0</v>
      </c>
      <c r="F2024" s="38"/>
      <c r="G2024" s="38">
        <f t="shared" si="45"/>
        <v>0</v>
      </c>
    </row>
    <row r="2025" spans="1:7" ht="76.5">
      <c r="A2025" s="38"/>
      <c r="B2025" s="71" t="s">
        <v>2083</v>
      </c>
      <c r="C2025" s="138" t="s">
        <v>1945</v>
      </c>
      <c r="D2025" s="51" t="s">
        <v>75</v>
      </c>
      <c r="E2025" s="112">
        <v>286.82</v>
      </c>
      <c r="F2025" s="38"/>
      <c r="G2025" s="38">
        <f t="shared" si="45"/>
        <v>0</v>
      </c>
    </row>
    <row r="2026" spans="1:7" ht="63.75">
      <c r="A2026" s="38"/>
      <c r="B2026" s="71" t="s">
        <v>2084</v>
      </c>
      <c r="C2026" s="138" t="s">
        <v>2025</v>
      </c>
      <c r="D2026" s="51" t="s">
        <v>75</v>
      </c>
      <c r="E2026" s="112">
        <v>286.82</v>
      </c>
      <c r="F2026" s="38"/>
      <c r="G2026" s="38">
        <f t="shared" si="45"/>
        <v>0</v>
      </c>
    </row>
    <row r="2027" spans="1:7" ht="63.75">
      <c r="A2027" s="38"/>
      <c r="B2027" s="71" t="s">
        <v>2085</v>
      </c>
      <c r="C2027" s="138" t="s">
        <v>2027</v>
      </c>
      <c r="D2027" s="51" t="s">
        <v>75</v>
      </c>
      <c r="E2027" s="112">
        <v>286.82</v>
      </c>
      <c r="F2027" s="38"/>
      <c r="G2027" s="38">
        <f t="shared" si="45"/>
        <v>0</v>
      </c>
    </row>
    <row r="2028" spans="1:7" ht="63.75">
      <c r="A2028" s="38"/>
      <c r="B2028" s="71" t="s">
        <v>2086</v>
      </c>
      <c r="C2028" s="138" t="s">
        <v>1951</v>
      </c>
      <c r="D2028" s="51" t="s">
        <v>75</v>
      </c>
      <c r="E2028" s="61">
        <v>264.57</v>
      </c>
      <c r="F2028" s="38"/>
      <c r="G2028" s="38">
        <f t="shared" si="45"/>
        <v>0</v>
      </c>
    </row>
    <row r="2029" spans="1:7" ht="76.5">
      <c r="A2029" s="38"/>
      <c r="B2029" s="71" t="s">
        <v>2087</v>
      </c>
      <c r="C2029" s="138" t="s">
        <v>2030</v>
      </c>
      <c r="D2029" s="51" t="s">
        <v>84</v>
      </c>
      <c r="E2029" s="61">
        <v>68.84</v>
      </c>
      <c r="F2029" s="38"/>
      <c r="G2029" s="38">
        <f t="shared" si="45"/>
        <v>0</v>
      </c>
    </row>
    <row r="2030" spans="1:7" ht="63.75">
      <c r="A2030" s="38"/>
      <c r="B2030" s="71" t="s">
        <v>2088</v>
      </c>
      <c r="C2030" s="138" t="s">
        <v>1955</v>
      </c>
      <c r="D2030" s="51" t="s">
        <v>84</v>
      </c>
      <c r="E2030" s="61">
        <v>20.2</v>
      </c>
      <c r="F2030" s="38"/>
      <c r="G2030" s="38">
        <f t="shared" si="45"/>
        <v>0</v>
      </c>
    </row>
    <row r="2031" spans="1:7">
      <c r="A2031" s="38"/>
      <c r="B2031" s="71"/>
      <c r="C2031" s="50"/>
      <c r="D2031" s="51"/>
      <c r="E2031" s="61"/>
      <c r="F2031" s="38"/>
      <c r="G2031" s="38">
        <f t="shared" si="45"/>
        <v>0</v>
      </c>
    </row>
    <row r="2032" spans="1:7">
      <c r="A2032" s="38"/>
      <c r="B2032" s="145" t="s">
        <v>2089</v>
      </c>
      <c r="C2032" s="55" t="s">
        <v>93</v>
      </c>
      <c r="D2032" s="56"/>
      <c r="E2032" s="62">
        <v>0</v>
      </c>
      <c r="F2032" s="38"/>
      <c r="G2032" s="38">
        <f t="shared" si="45"/>
        <v>0</v>
      </c>
    </row>
    <row r="2033" spans="1:7" ht="63.75">
      <c r="A2033" s="38"/>
      <c r="B2033" s="145" t="s">
        <v>2090</v>
      </c>
      <c r="C2033" s="138" t="s">
        <v>1958</v>
      </c>
      <c r="D2033" s="51" t="s">
        <v>75</v>
      </c>
      <c r="E2033" s="112">
        <v>26.81</v>
      </c>
      <c r="F2033" s="4"/>
      <c r="G2033" s="38">
        <f t="shared" si="45"/>
        <v>0</v>
      </c>
    </row>
    <row r="2034" spans="1:7" ht="76.5">
      <c r="A2034" s="38"/>
      <c r="B2034" s="145" t="s">
        <v>2091</v>
      </c>
      <c r="C2034" s="138" t="s">
        <v>1960</v>
      </c>
      <c r="D2034" s="138" t="s">
        <v>75</v>
      </c>
      <c r="E2034" s="149">
        <v>53.62</v>
      </c>
      <c r="F2034" s="4"/>
      <c r="G2034" s="38">
        <f t="shared" si="45"/>
        <v>0</v>
      </c>
    </row>
    <row r="2035" spans="1:7" ht="89.25">
      <c r="A2035" s="38"/>
      <c r="B2035" s="145" t="s">
        <v>2092</v>
      </c>
      <c r="C2035" s="138" t="s">
        <v>1962</v>
      </c>
      <c r="D2035" s="51" t="s">
        <v>75</v>
      </c>
      <c r="E2035" s="61">
        <v>741.72</v>
      </c>
      <c r="F2035" s="38"/>
      <c r="G2035" s="38">
        <f t="shared" si="45"/>
        <v>0</v>
      </c>
    </row>
    <row r="2036" spans="1:7" ht="76.5">
      <c r="A2036" s="38"/>
      <c r="B2036" s="145" t="s">
        <v>2093</v>
      </c>
      <c r="C2036" s="138" t="s">
        <v>2037</v>
      </c>
      <c r="D2036" s="138" t="s">
        <v>75</v>
      </c>
      <c r="E2036" s="148">
        <v>101.55</v>
      </c>
      <c r="F2036" s="38"/>
      <c r="G2036" s="38">
        <f t="shared" si="45"/>
        <v>0</v>
      </c>
    </row>
    <row r="2037" spans="1:7" ht="51">
      <c r="A2037" s="38"/>
      <c r="B2037" s="145" t="s">
        <v>2094</v>
      </c>
      <c r="C2037" s="138" t="s">
        <v>1966</v>
      </c>
      <c r="D2037" s="138" t="s">
        <v>91</v>
      </c>
      <c r="E2037" s="138">
        <v>2</v>
      </c>
      <c r="F2037" s="4"/>
      <c r="G2037" s="38">
        <f t="shared" si="45"/>
        <v>0</v>
      </c>
    </row>
    <row r="2038" spans="1:7" ht="89.25">
      <c r="A2038" s="38"/>
      <c r="B2038" s="145" t="s">
        <v>2095</v>
      </c>
      <c r="C2038" s="138" t="s">
        <v>2040</v>
      </c>
      <c r="D2038" s="51" t="s">
        <v>75</v>
      </c>
      <c r="E2038" s="61">
        <v>32.43</v>
      </c>
      <c r="F2038" s="38"/>
      <c r="G2038" s="38">
        <f t="shared" si="45"/>
        <v>0</v>
      </c>
    </row>
    <row r="2039" spans="1:7" ht="89.25">
      <c r="A2039" s="38"/>
      <c r="B2039" s="145" t="s">
        <v>2096</v>
      </c>
      <c r="C2039" s="138" t="s">
        <v>2042</v>
      </c>
      <c r="D2039" s="51" t="s">
        <v>75</v>
      </c>
      <c r="E2039" s="61">
        <v>91.04</v>
      </c>
      <c r="F2039" s="38"/>
      <c r="G2039" s="38">
        <f t="shared" si="45"/>
        <v>0</v>
      </c>
    </row>
    <row r="2040" spans="1:7" ht="102">
      <c r="A2040" s="38"/>
      <c r="B2040" s="145" t="s">
        <v>2097</v>
      </c>
      <c r="C2040" s="138" t="s">
        <v>1974</v>
      </c>
      <c r="D2040" s="51" t="s">
        <v>75</v>
      </c>
      <c r="E2040" s="61">
        <v>661.43</v>
      </c>
      <c r="F2040" s="38"/>
      <c r="G2040" s="38">
        <f t="shared" si="45"/>
        <v>0</v>
      </c>
    </row>
    <row r="2041" spans="1:7" ht="89.25">
      <c r="A2041" s="38"/>
      <c r="B2041" s="145" t="s">
        <v>2098</v>
      </c>
      <c r="C2041" s="138" t="s">
        <v>1976</v>
      </c>
      <c r="D2041" s="51" t="s">
        <v>84</v>
      </c>
      <c r="E2041" s="61">
        <v>272.5</v>
      </c>
      <c r="F2041" s="38"/>
      <c r="G2041" s="38">
        <f t="shared" si="45"/>
        <v>0</v>
      </c>
    </row>
    <row r="2042" spans="1:7">
      <c r="A2042" s="38"/>
      <c r="B2042" s="71"/>
      <c r="C2042" s="50"/>
      <c r="D2042" s="51"/>
      <c r="E2042" s="61"/>
      <c r="F2042" s="38"/>
      <c r="G2042" s="38">
        <f t="shared" si="45"/>
        <v>0</v>
      </c>
    </row>
    <row r="2043" spans="1:7">
      <c r="A2043" s="38"/>
      <c r="B2043" s="71" t="s">
        <v>2099</v>
      </c>
      <c r="C2043" s="55" t="s">
        <v>123</v>
      </c>
      <c r="D2043" s="56"/>
      <c r="E2043" s="62">
        <v>0</v>
      </c>
      <c r="F2043" s="38"/>
      <c r="G2043" s="38">
        <f t="shared" si="45"/>
        <v>0</v>
      </c>
    </row>
    <row r="2044" spans="1:7" ht="127.5">
      <c r="A2044" s="38"/>
      <c r="B2044" s="71" t="s">
        <v>2100</v>
      </c>
      <c r="C2044" s="138" t="s">
        <v>1981</v>
      </c>
      <c r="D2044" s="51" t="s">
        <v>75</v>
      </c>
      <c r="E2044" s="61">
        <v>350.74</v>
      </c>
      <c r="F2044" s="38"/>
      <c r="G2044" s="38">
        <f t="shared" si="45"/>
        <v>0</v>
      </c>
    </row>
    <row r="2045" spans="1:7" ht="76.5">
      <c r="A2045" s="38"/>
      <c r="B2045" s="71" t="s">
        <v>2101</v>
      </c>
      <c r="C2045" s="138" t="s">
        <v>1983</v>
      </c>
      <c r="D2045" s="51" t="s">
        <v>75</v>
      </c>
      <c r="E2045" s="61">
        <v>334.74</v>
      </c>
      <c r="F2045" s="38"/>
      <c r="G2045" s="38">
        <f t="shared" si="45"/>
        <v>0</v>
      </c>
    </row>
    <row r="2046" spans="1:7" ht="102">
      <c r="A2046" s="38"/>
      <c r="B2046" s="71" t="s">
        <v>2102</v>
      </c>
      <c r="C2046" s="138" t="s">
        <v>2049</v>
      </c>
      <c r="D2046" s="51" t="s">
        <v>84</v>
      </c>
      <c r="E2046" s="61">
        <v>45.66</v>
      </c>
      <c r="F2046" s="38"/>
      <c r="G2046" s="38">
        <f t="shared" si="45"/>
        <v>0</v>
      </c>
    </row>
    <row r="2047" spans="1:7" ht="89.25">
      <c r="A2047" s="38"/>
      <c r="B2047" s="71" t="s">
        <v>2103</v>
      </c>
      <c r="C2047" s="138" t="s">
        <v>2042</v>
      </c>
      <c r="D2047" s="51" t="s">
        <v>75</v>
      </c>
      <c r="E2047" s="61">
        <v>16.2</v>
      </c>
      <c r="F2047" s="38"/>
      <c r="G2047" s="38">
        <f t="shared" si="45"/>
        <v>0</v>
      </c>
    </row>
    <row r="2048" spans="1:7" ht="51">
      <c r="A2048" s="38"/>
      <c r="B2048" s="71" t="s">
        <v>2104</v>
      </c>
      <c r="C2048" s="138" t="s">
        <v>1816</v>
      </c>
      <c r="D2048" s="51" t="s">
        <v>140</v>
      </c>
      <c r="E2048" s="61">
        <v>14</v>
      </c>
      <c r="F2048" s="38"/>
      <c r="G2048" s="38">
        <f t="shared" si="45"/>
        <v>0</v>
      </c>
    </row>
    <row r="2049" spans="1:7">
      <c r="A2049" s="38"/>
      <c r="B2049" s="71"/>
      <c r="C2049" s="50"/>
      <c r="D2049" s="51"/>
      <c r="E2049" s="61"/>
      <c r="F2049" s="38"/>
      <c r="G2049" s="38">
        <f t="shared" si="45"/>
        <v>0</v>
      </c>
    </row>
    <row r="2050" spans="1:7">
      <c r="A2050" s="38"/>
      <c r="B2050" s="71" t="s">
        <v>2105</v>
      </c>
      <c r="C2050" s="55" t="s">
        <v>146</v>
      </c>
      <c r="D2050" s="56"/>
      <c r="E2050" s="62">
        <v>0</v>
      </c>
      <c r="F2050" s="38"/>
      <c r="G2050" s="38">
        <f t="shared" si="45"/>
        <v>0</v>
      </c>
    </row>
    <row r="2051" spans="1:7" ht="191.25">
      <c r="A2051" s="38"/>
      <c r="B2051" s="71" t="s">
        <v>2106</v>
      </c>
      <c r="C2051" s="139" t="s">
        <v>2054</v>
      </c>
      <c r="D2051" s="51" t="s">
        <v>140</v>
      </c>
      <c r="E2051" s="61">
        <v>4</v>
      </c>
      <c r="F2051" s="38"/>
      <c r="G2051" s="38">
        <f t="shared" si="45"/>
        <v>0</v>
      </c>
    </row>
    <row r="2052" spans="1:7" ht="242.25">
      <c r="A2052" s="38"/>
      <c r="B2052" s="71" t="s">
        <v>2107</v>
      </c>
      <c r="C2052" s="139" t="s">
        <v>2056</v>
      </c>
      <c r="D2052" s="51" t="s">
        <v>140</v>
      </c>
      <c r="E2052" s="51">
        <v>13</v>
      </c>
      <c r="F2052" s="38"/>
      <c r="G2052" s="38">
        <f t="shared" si="45"/>
        <v>0</v>
      </c>
    </row>
    <row r="2053" spans="1:7">
      <c r="A2053" s="38"/>
      <c r="B2053" s="71"/>
      <c r="C2053" s="50"/>
      <c r="D2053" s="51"/>
      <c r="E2053" s="61"/>
      <c r="F2053" s="38"/>
      <c r="G2053" s="38">
        <f t="shared" si="45"/>
        <v>0</v>
      </c>
    </row>
    <row r="2054" spans="1:7">
      <c r="A2054" s="38"/>
      <c r="B2054" s="71" t="s">
        <v>2108</v>
      </c>
      <c r="C2054" s="55" t="s">
        <v>1992</v>
      </c>
      <c r="D2054" s="51"/>
      <c r="E2054" s="61"/>
      <c r="F2054" s="38"/>
      <c r="G2054" s="38">
        <f t="shared" si="45"/>
        <v>0</v>
      </c>
    </row>
    <row r="2055" spans="1:7" ht="191.25">
      <c r="A2055" s="38"/>
      <c r="B2055" s="71" t="s">
        <v>2109</v>
      </c>
      <c r="C2055" s="138" t="s">
        <v>2059</v>
      </c>
      <c r="D2055" s="51" t="s">
        <v>140</v>
      </c>
      <c r="E2055" s="51">
        <v>17</v>
      </c>
      <c r="F2055" s="38"/>
      <c r="G2055" s="38">
        <f t="shared" si="45"/>
        <v>0</v>
      </c>
    </row>
    <row r="2056" spans="1:7">
      <c r="A2056" s="38"/>
      <c r="B2056" s="71"/>
      <c r="C2056" s="50"/>
      <c r="D2056" s="51"/>
      <c r="E2056" s="61"/>
      <c r="F2056" s="38"/>
      <c r="G2056" s="38">
        <f t="shared" si="45"/>
        <v>0</v>
      </c>
    </row>
    <row r="2057" spans="1:7">
      <c r="A2057" s="38"/>
      <c r="B2057" s="71" t="s">
        <v>2110</v>
      </c>
      <c r="C2057" s="55" t="s">
        <v>151</v>
      </c>
      <c r="D2057" s="56"/>
      <c r="E2057" s="62">
        <v>0</v>
      </c>
      <c r="F2057" s="38"/>
      <c r="G2057" s="38">
        <f t="shared" si="45"/>
        <v>0</v>
      </c>
    </row>
    <row r="2058" spans="1:7" ht="89.25">
      <c r="A2058" s="38"/>
      <c r="B2058" s="71" t="s">
        <v>2111</v>
      </c>
      <c r="C2058" s="138" t="s">
        <v>1997</v>
      </c>
      <c r="D2058" s="51" t="s">
        <v>140</v>
      </c>
      <c r="E2058" s="61">
        <v>56</v>
      </c>
      <c r="F2058" s="38"/>
      <c r="G2058" s="38">
        <f t="shared" si="45"/>
        <v>0</v>
      </c>
    </row>
    <row r="2059" spans="1:7" ht="38.25">
      <c r="A2059" s="38"/>
      <c r="B2059" s="71" t="s">
        <v>2112</v>
      </c>
      <c r="C2059" s="138" t="s">
        <v>1999</v>
      </c>
      <c r="D2059" s="138" t="s">
        <v>140</v>
      </c>
      <c r="E2059" s="138">
        <v>5</v>
      </c>
      <c r="F2059" s="38"/>
      <c r="G2059" s="38">
        <f t="shared" si="45"/>
        <v>0</v>
      </c>
    </row>
    <row r="2060" spans="1:7" ht="38.25">
      <c r="A2060" s="38"/>
      <c r="B2060" s="142" t="s">
        <v>2114</v>
      </c>
      <c r="C2060" s="138" t="s">
        <v>2001</v>
      </c>
      <c r="D2060" s="138" t="s">
        <v>1898</v>
      </c>
      <c r="E2060" s="138">
        <v>1</v>
      </c>
      <c r="F2060" s="38"/>
      <c r="G2060" s="38">
        <f t="shared" si="45"/>
        <v>0</v>
      </c>
    </row>
    <row r="2061" spans="1:7">
      <c r="A2061" s="38"/>
      <c r="B2061" s="71"/>
      <c r="C2061" s="50"/>
      <c r="D2061" s="51"/>
      <c r="E2061" s="61"/>
      <c r="F2061" s="38"/>
      <c r="G2061" s="38">
        <f t="shared" si="45"/>
        <v>0</v>
      </c>
    </row>
    <row r="2062" spans="1:7">
      <c r="A2062" s="38"/>
      <c r="B2062" s="71" t="s">
        <v>2115</v>
      </c>
      <c r="C2062" s="55" t="s">
        <v>1840</v>
      </c>
      <c r="D2062" s="56"/>
      <c r="E2062" s="62">
        <v>0</v>
      </c>
      <c r="F2062" s="38"/>
      <c r="G2062" s="38">
        <f t="shared" si="45"/>
        <v>0</v>
      </c>
    </row>
    <row r="2063" spans="1:7" ht="114.75">
      <c r="A2063" s="38"/>
      <c r="B2063" s="71" t="s">
        <v>2116</v>
      </c>
      <c r="C2063" s="138" t="s">
        <v>2004</v>
      </c>
      <c r="D2063" s="132" t="s">
        <v>140</v>
      </c>
      <c r="E2063" s="51">
        <v>1</v>
      </c>
      <c r="F2063" s="38"/>
      <c r="G2063" s="38">
        <f t="shared" si="45"/>
        <v>0</v>
      </c>
    </row>
    <row r="2064" spans="1:7" ht="102">
      <c r="A2064" s="38"/>
      <c r="B2064" s="71" t="s">
        <v>2117</v>
      </c>
      <c r="C2064" s="138" t="s">
        <v>2006</v>
      </c>
      <c r="D2064" s="132" t="s">
        <v>140</v>
      </c>
      <c r="E2064" s="51">
        <v>3</v>
      </c>
      <c r="F2064" s="38"/>
      <c r="G2064" s="38">
        <f t="shared" si="45"/>
        <v>0</v>
      </c>
    </row>
    <row r="2065" spans="1:7" ht="25.5">
      <c r="A2065" s="38"/>
      <c r="B2065" s="71" t="s">
        <v>2703</v>
      </c>
      <c r="C2065" s="132" t="s">
        <v>2698</v>
      </c>
      <c r="D2065" s="132" t="s">
        <v>140</v>
      </c>
      <c r="E2065" s="51">
        <v>4</v>
      </c>
      <c r="F2065" s="38"/>
      <c r="G2065" s="38">
        <f t="shared" ref="G2065" si="46">E2065*F2065</f>
        <v>0</v>
      </c>
    </row>
    <row r="2066" spans="1:7">
      <c r="A2066" s="38"/>
      <c r="B2066" s="71"/>
      <c r="C2066" s="50"/>
      <c r="D2066" s="132"/>
      <c r="E2066" s="132"/>
      <c r="F2066" s="38"/>
      <c r="G2066" s="38">
        <f t="shared" si="45"/>
        <v>0</v>
      </c>
    </row>
    <row r="2067" spans="1:7">
      <c r="A2067" s="38"/>
      <c r="B2067" s="71" t="s">
        <v>2118</v>
      </c>
      <c r="C2067" s="55" t="s">
        <v>202</v>
      </c>
      <c r="D2067" s="56"/>
      <c r="E2067" s="62">
        <v>0</v>
      </c>
      <c r="F2067" s="38"/>
      <c r="G2067" s="38">
        <f t="shared" si="45"/>
        <v>0</v>
      </c>
    </row>
    <row r="2068" spans="1:7" ht="63.75">
      <c r="A2068" s="38"/>
      <c r="B2068" s="71" t="s">
        <v>2119</v>
      </c>
      <c r="C2068" s="138" t="s">
        <v>2069</v>
      </c>
      <c r="D2068" s="51" t="s">
        <v>84</v>
      </c>
      <c r="E2068" s="61">
        <v>45.66</v>
      </c>
      <c r="F2068" s="38"/>
      <c r="G2068" s="38">
        <f>E2068*F2068</f>
        <v>0</v>
      </c>
    </row>
    <row r="2069" spans="1:7">
      <c r="E2069" s="157"/>
      <c r="F2069" s="1"/>
      <c r="G2069" s="1"/>
    </row>
    <row r="2070" spans="1:7">
      <c r="A2070" s="38"/>
      <c r="B2070" s="72" t="s">
        <v>2120</v>
      </c>
      <c r="C2070" s="48"/>
      <c r="D2070" s="15"/>
      <c r="E2070" s="122"/>
      <c r="F2070" s="54"/>
      <c r="G2070" s="58">
        <f>SUM(G2009:G2069)</f>
        <v>0</v>
      </c>
    </row>
    <row r="2071" spans="1:7">
      <c r="E2071" s="157"/>
      <c r="F2071" s="1"/>
      <c r="G2071" s="1"/>
    </row>
    <row r="2072" spans="1:7">
      <c r="A2072" s="38"/>
      <c r="B2072" s="141">
        <v>3.25</v>
      </c>
      <c r="C2072" s="72" t="s">
        <v>2121</v>
      </c>
      <c r="D2072" s="49"/>
      <c r="E2072" s="60">
        <v>0</v>
      </c>
      <c r="F2072" s="129"/>
      <c r="G2072" s="129"/>
    </row>
    <row r="2073" spans="1:7">
      <c r="A2073" s="38"/>
      <c r="B2073" s="128"/>
      <c r="C2073" s="116"/>
      <c r="D2073" s="56"/>
      <c r="E2073" s="62"/>
      <c r="F2073" s="38"/>
      <c r="G2073" s="38"/>
    </row>
    <row r="2074" spans="1:7" ht="38.25">
      <c r="A2074" s="38"/>
      <c r="B2074" s="128"/>
      <c r="C2074" s="138" t="s">
        <v>60</v>
      </c>
      <c r="D2074" s="56"/>
      <c r="E2074" s="62"/>
      <c r="F2074" s="38"/>
      <c r="G2074" s="38">
        <f t="shared" ref="G2074:G2131" si="47">E2074*F2074</f>
        <v>0</v>
      </c>
    </row>
    <row r="2075" spans="1:7">
      <c r="A2075" s="38"/>
      <c r="B2075" s="128"/>
      <c r="C2075" s="116"/>
      <c r="D2075" s="56"/>
      <c r="E2075" s="62"/>
      <c r="F2075" s="38"/>
      <c r="G2075" s="38">
        <f t="shared" si="47"/>
        <v>0</v>
      </c>
    </row>
    <row r="2076" spans="1:7">
      <c r="A2076" s="38"/>
      <c r="B2076" s="71" t="s">
        <v>2122</v>
      </c>
      <c r="C2076" s="55" t="s">
        <v>62</v>
      </c>
      <c r="D2076" s="56"/>
      <c r="E2076" s="62">
        <v>0</v>
      </c>
      <c r="F2076" s="38"/>
      <c r="G2076" s="38">
        <f t="shared" si="47"/>
        <v>0</v>
      </c>
    </row>
    <row r="2077" spans="1:7" ht="191.25">
      <c r="A2077" s="38"/>
      <c r="B2077" s="71" t="s">
        <v>2123</v>
      </c>
      <c r="C2077" s="138" t="s">
        <v>64</v>
      </c>
      <c r="D2077" s="132" t="s">
        <v>38</v>
      </c>
      <c r="E2077" s="61">
        <v>1</v>
      </c>
      <c r="F2077" s="38"/>
      <c r="G2077" s="38">
        <f t="shared" si="47"/>
        <v>0</v>
      </c>
    </row>
    <row r="2078" spans="1:7" ht="51">
      <c r="A2078" s="38"/>
      <c r="B2078" s="71" t="s">
        <v>2124</v>
      </c>
      <c r="C2078" s="138" t="s">
        <v>1929</v>
      </c>
      <c r="D2078" s="132" t="s">
        <v>84</v>
      </c>
      <c r="E2078" s="61">
        <v>331.6</v>
      </c>
      <c r="F2078" s="38"/>
      <c r="G2078" s="38">
        <f t="shared" si="47"/>
        <v>0</v>
      </c>
    </row>
    <row r="2079" spans="1:7" ht="38.25">
      <c r="A2079" s="38"/>
      <c r="B2079" s="71" t="s">
        <v>2125</v>
      </c>
      <c r="C2079" s="138" t="s">
        <v>1931</v>
      </c>
      <c r="D2079" s="132" t="s">
        <v>84</v>
      </c>
      <c r="E2079" s="61">
        <v>331.6</v>
      </c>
      <c r="F2079" s="38"/>
      <c r="G2079" s="38">
        <f t="shared" si="47"/>
        <v>0</v>
      </c>
    </row>
    <row r="2080" spans="1:7" ht="63.75">
      <c r="A2080" s="38"/>
      <c r="B2080" s="71" t="s">
        <v>2126</v>
      </c>
      <c r="C2080" s="138" t="s">
        <v>1933</v>
      </c>
      <c r="D2080" s="132" t="s">
        <v>84</v>
      </c>
      <c r="E2080" s="61">
        <v>262.5</v>
      </c>
      <c r="F2080" s="38"/>
      <c r="G2080" s="38">
        <f t="shared" si="47"/>
        <v>0</v>
      </c>
    </row>
    <row r="2081" spans="1:7" ht="51">
      <c r="A2081" s="38"/>
      <c r="B2081" s="71" t="s">
        <v>2127</v>
      </c>
      <c r="C2081" s="138" t="s">
        <v>1935</v>
      </c>
      <c r="D2081" s="51" t="s">
        <v>75</v>
      </c>
      <c r="E2081" s="61">
        <v>187.09</v>
      </c>
      <c r="F2081" s="38"/>
      <c r="G2081" s="38">
        <f t="shared" si="47"/>
        <v>0</v>
      </c>
    </row>
    <row r="2082" spans="1:7" ht="38.25">
      <c r="A2082" s="38"/>
      <c r="B2082" s="71" t="s">
        <v>2128</v>
      </c>
      <c r="C2082" s="138" t="s">
        <v>1937</v>
      </c>
      <c r="D2082" s="51" t="s">
        <v>75</v>
      </c>
      <c r="E2082" s="61">
        <v>168.27</v>
      </c>
      <c r="F2082" s="38"/>
      <c r="G2082" s="38">
        <f t="shared" si="47"/>
        <v>0</v>
      </c>
    </row>
    <row r="2083" spans="1:7">
      <c r="A2083" s="38"/>
      <c r="B2083" s="71"/>
      <c r="C2083" s="50"/>
      <c r="D2083" s="51"/>
      <c r="E2083" s="61"/>
      <c r="F2083" s="38"/>
      <c r="G2083" s="38">
        <f t="shared" si="47"/>
        <v>0</v>
      </c>
    </row>
    <row r="2084" spans="1:7">
      <c r="A2084" s="38"/>
      <c r="B2084" s="71" t="s">
        <v>2129</v>
      </c>
      <c r="C2084" s="55" t="s">
        <v>66</v>
      </c>
      <c r="D2084" s="56"/>
      <c r="E2084" s="62">
        <v>0</v>
      </c>
      <c r="F2084" s="13"/>
      <c r="G2084" s="38">
        <f t="shared" si="47"/>
        <v>0</v>
      </c>
    </row>
    <row r="2085" spans="1:7" ht="38.25">
      <c r="A2085" s="38"/>
      <c r="B2085" s="71" t="s">
        <v>2130</v>
      </c>
      <c r="C2085" s="138" t="s">
        <v>1940</v>
      </c>
      <c r="D2085" s="51" t="s">
        <v>38</v>
      </c>
      <c r="E2085" s="112">
        <v>1</v>
      </c>
      <c r="F2085" s="4"/>
      <c r="G2085" s="38">
        <f t="shared" si="47"/>
        <v>0</v>
      </c>
    </row>
    <row r="2086" spans="1:7" ht="63.75">
      <c r="A2086" s="38"/>
      <c r="B2086" s="71" t="s">
        <v>2131</v>
      </c>
      <c r="C2086" s="138" t="s">
        <v>1942</v>
      </c>
      <c r="D2086" s="51" t="s">
        <v>38</v>
      </c>
      <c r="E2086" s="112">
        <v>1</v>
      </c>
      <c r="F2086" s="4"/>
      <c r="G2086" s="38">
        <f t="shared" si="47"/>
        <v>0</v>
      </c>
    </row>
    <row r="2087" spans="1:7">
      <c r="A2087" s="38"/>
      <c r="B2087" s="71"/>
      <c r="C2087" s="50"/>
      <c r="D2087" s="51"/>
      <c r="E2087" s="61"/>
      <c r="F2087" s="38"/>
      <c r="G2087" s="38">
        <f t="shared" si="47"/>
        <v>0</v>
      </c>
    </row>
    <row r="2088" spans="1:7">
      <c r="A2088" s="38"/>
      <c r="B2088" s="71" t="s">
        <v>2132</v>
      </c>
      <c r="C2088" s="55" t="s">
        <v>72</v>
      </c>
      <c r="D2088" s="56"/>
      <c r="E2088" s="62">
        <v>0</v>
      </c>
      <c r="F2088" s="38"/>
      <c r="G2088" s="38">
        <f t="shared" si="47"/>
        <v>0</v>
      </c>
    </row>
    <row r="2089" spans="1:7" ht="76.5">
      <c r="A2089" s="38"/>
      <c r="B2089" s="71" t="s">
        <v>2133</v>
      </c>
      <c r="C2089" s="138" t="s">
        <v>1945</v>
      </c>
      <c r="D2089" s="51" t="s">
        <v>75</v>
      </c>
      <c r="E2089" s="112">
        <v>291.56</v>
      </c>
      <c r="F2089" s="38"/>
      <c r="G2089" s="38">
        <f t="shared" si="47"/>
        <v>0</v>
      </c>
    </row>
    <row r="2090" spans="1:7" ht="63.75">
      <c r="A2090" s="38"/>
      <c r="B2090" s="71" t="s">
        <v>2134</v>
      </c>
      <c r="C2090" s="138" t="s">
        <v>2025</v>
      </c>
      <c r="D2090" s="51" t="s">
        <v>75</v>
      </c>
      <c r="E2090" s="112">
        <v>291.56</v>
      </c>
      <c r="F2090" s="38"/>
      <c r="G2090" s="38">
        <f t="shared" si="47"/>
        <v>0</v>
      </c>
    </row>
    <row r="2091" spans="1:7" ht="63.75">
      <c r="A2091" s="38"/>
      <c r="B2091" s="71" t="s">
        <v>2135</v>
      </c>
      <c r="C2091" s="138" t="s">
        <v>2027</v>
      </c>
      <c r="D2091" s="51" t="s">
        <v>75</v>
      </c>
      <c r="E2091" s="112">
        <v>291.56</v>
      </c>
      <c r="F2091" s="38"/>
      <c r="G2091" s="38">
        <f t="shared" si="47"/>
        <v>0</v>
      </c>
    </row>
    <row r="2092" spans="1:7" ht="63.75">
      <c r="A2092" s="38"/>
      <c r="B2092" s="71" t="s">
        <v>2136</v>
      </c>
      <c r="C2092" s="138" t="s">
        <v>1951</v>
      </c>
      <c r="D2092" s="51" t="s">
        <v>84</v>
      </c>
      <c r="E2092" s="61">
        <v>232.24</v>
      </c>
      <c r="F2092" s="38"/>
      <c r="G2092" s="38">
        <f t="shared" si="47"/>
        <v>0</v>
      </c>
    </row>
    <row r="2093" spans="1:7" ht="76.5">
      <c r="A2093" s="38"/>
      <c r="B2093" s="71" t="s">
        <v>2137</v>
      </c>
      <c r="C2093" s="138" t="s">
        <v>2030</v>
      </c>
      <c r="D2093" s="132" t="s">
        <v>75</v>
      </c>
      <c r="E2093" s="61">
        <v>68.84</v>
      </c>
      <c r="F2093" s="38"/>
      <c r="G2093" s="38">
        <f t="shared" si="47"/>
        <v>0</v>
      </c>
    </row>
    <row r="2094" spans="1:7" ht="63.75">
      <c r="A2094" s="38"/>
      <c r="B2094" s="71" t="s">
        <v>2138</v>
      </c>
      <c r="C2094" s="138" t="s">
        <v>1955</v>
      </c>
      <c r="D2094" s="51" t="s">
        <v>84</v>
      </c>
      <c r="E2094" s="61">
        <v>20.55</v>
      </c>
      <c r="F2094" s="38"/>
      <c r="G2094" s="38">
        <f t="shared" si="47"/>
        <v>0</v>
      </c>
    </row>
    <row r="2095" spans="1:7">
      <c r="A2095" s="38"/>
      <c r="B2095" s="71"/>
      <c r="C2095" s="50"/>
      <c r="D2095" s="51"/>
      <c r="E2095" s="61"/>
      <c r="F2095" s="38"/>
      <c r="G2095" s="38">
        <f t="shared" si="47"/>
        <v>0</v>
      </c>
    </row>
    <row r="2096" spans="1:7">
      <c r="A2096" s="38"/>
      <c r="B2096" s="71" t="s">
        <v>2139</v>
      </c>
      <c r="C2096" s="55" t="s">
        <v>93</v>
      </c>
      <c r="D2096" s="56"/>
      <c r="E2096" s="62">
        <v>0</v>
      </c>
      <c r="F2096" s="38"/>
      <c r="G2096" s="38">
        <f t="shared" si="47"/>
        <v>0</v>
      </c>
    </row>
    <row r="2097" spans="1:7" ht="63.75">
      <c r="A2097" s="38"/>
      <c r="B2097" s="71" t="s">
        <v>2140</v>
      </c>
      <c r="C2097" s="138" t="s">
        <v>1958</v>
      </c>
      <c r="D2097" s="144" t="s">
        <v>75</v>
      </c>
      <c r="E2097" s="149">
        <v>42.5</v>
      </c>
      <c r="F2097" s="4"/>
      <c r="G2097" s="38">
        <f t="shared" si="47"/>
        <v>0</v>
      </c>
    </row>
    <row r="2098" spans="1:7" ht="76.5">
      <c r="A2098" s="38"/>
      <c r="B2098" s="142" t="s">
        <v>2141</v>
      </c>
      <c r="C2098" s="138" t="s">
        <v>1960</v>
      </c>
      <c r="D2098" s="138" t="s">
        <v>75</v>
      </c>
      <c r="E2098" s="149">
        <v>85</v>
      </c>
      <c r="F2098" s="4"/>
      <c r="G2098" s="38">
        <f t="shared" si="47"/>
        <v>0</v>
      </c>
    </row>
    <row r="2099" spans="1:7" ht="89.25">
      <c r="A2099" s="38"/>
      <c r="B2099" s="71" t="s">
        <v>2142</v>
      </c>
      <c r="C2099" s="138" t="s">
        <v>1962</v>
      </c>
      <c r="D2099" s="51" t="s">
        <v>75</v>
      </c>
      <c r="E2099" s="112">
        <v>765.13</v>
      </c>
      <c r="F2099" s="38"/>
      <c r="G2099" s="38">
        <f t="shared" si="47"/>
        <v>0</v>
      </c>
    </row>
    <row r="2100" spans="1:7" ht="76.5">
      <c r="A2100" s="38"/>
      <c r="B2100" s="142" t="s">
        <v>2143</v>
      </c>
      <c r="C2100" s="138" t="s">
        <v>2037</v>
      </c>
      <c r="D2100" s="138" t="s">
        <v>75</v>
      </c>
      <c r="E2100" s="148">
        <v>101.55</v>
      </c>
      <c r="F2100" s="38"/>
      <c r="G2100" s="38">
        <f t="shared" si="47"/>
        <v>0</v>
      </c>
    </row>
    <row r="2101" spans="1:7" ht="51">
      <c r="A2101" s="38"/>
      <c r="B2101" s="71" t="s">
        <v>2144</v>
      </c>
      <c r="C2101" s="138" t="s">
        <v>1966</v>
      </c>
      <c r="D2101" s="138" t="s">
        <v>91</v>
      </c>
      <c r="E2101" s="138">
        <v>2</v>
      </c>
      <c r="F2101" s="4"/>
      <c r="G2101" s="38">
        <f t="shared" si="47"/>
        <v>0</v>
      </c>
    </row>
    <row r="2102" spans="1:7" ht="89.25">
      <c r="A2102" s="38"/>
      <c r="B2102" s="71" t="s">
        <v>2145</v>
      </c>
      <c r="C2102" s="138" t="s">
        <v>2040</v>
      </c>
      <c r="D2102" s="51" t="s">
        <v>75</v>
      </c>
      <c r="E2102" s="61">
        <v>32.43</v>
      </c>
      <c r="F2102" s="38"/>
      <c r="G2102" s="38">
        <f t="shared" si="47"/>
        <v>0</v>
      </c>
    </row>
    <row r="2103" spans="1:7" ht="89.25">
      <c r="A2103" s="38"/>
      <c r="B2103" s="71" t="s">
        <v>2146</v>
      </c>
      <c r="C2103" s="138" t="s">
        <v>2042</v>
      </c>
      <c r="D2103" s="51" t="s">
        <v>75</v>
      </c>
      <c r="E2103" s="61">
        <v>90.92</v>
      </c>
      <c r="F2103" s="38"/>
      <c r="G2103" s="38">
        <f t="shared" si="47"/>
        <v>0</v>
      </c>
    </row>
    <row r="2104" spans="1:7" ht="102">
      <c r="A2104" s="38"/>
      <c r="B2104" s="71" t="s">
        <v>2147</v>
      </c>
      <c r="C2104" s="138" t="s">
        <v>1974</v>
      </c>
      <c r="D2104" s="51" t="s">
        <v>75</v>
      </c>
      <c r="E2104" s="61">
        <v>580.6</v>
      </c>
      <c r="F2104" s="38"/>
      <c r="G2104" s="38">
        <f t="shared" si="47"/>
        <v>0</v>
      </c>
    </row>
    <row r="2105" spans="1:7" ht="89.25">
      <c r="A2105" s="38"/>
      <c r="B2105" s="71" t="s">
        <v>2148</v>
      </c>
      <c r="C2105" s="138" t="s">
        <v>1976</v>
      </c>
      <c r="D2105" s="51" t="s">
        <v>84</v>
      </c>
      <c r="E2105" s="61">
        <v>272.5</v>
      </c>
      <c r="F2105" s="38"/>
      <c r="G2105" s="38">
        <f t="shared" si="47"/>
        <v>0</v>
      </c>
    </row>
    <row r="2106" spans="1:7">
      <c r="A2106" s="38"/>
      <c r="B2106" s="71"/>
      <c r="C2106" s="50"/>
      <c r="D2106" s="51"/>
      <c r="E2106" s="61"/>
      <c r="F2106" s="38"/>
      <c r="G2106" s="38">
        <f t="shared" si="47"/>
        <v>0</v>
      </c>
    </row>
    <row r="2107" spans="1:7">
      <c r="A2107" s="38"/>
      <c r="B2107" s="71" t="s">
        <v>2149</v>
      </c>
      <c r="C2107" s="55" t="s">
        <v>123</v>
      </c>
      <c r="D2107" s="56"/>
      <c r="E2107" s="62">
        <v>0</v>
      </c>
      <c r="F2107" s="38"/>
      <c r="G2107" s="38">
        <f t="shared" si="47"/>
        <v>0</v>
      </c>
    </row>
    <row r="2108" spans="1:7" ht="127.5">
      <c r="A2108" s="38"/>
      <c r="B2108" s="71" t="s">
        <v>2150</v>
      </c>
      <c r="C2108" s="138" t="s">
        <v>1981</v>
      </c>
      <c r="D2108" s="51" t="s">
        <v>75</v>
      </c>
      <c r="E2108" s="61">
        <v>350.74</v>
      </c>
      <c r="F2108" s="38"/>
      <c r="G2108" s="38">
        <f t="shared" si="47"/>
        <v>0</v>
      </c>
    </row>
    <row r="2109" spans="1:7" ht="76.5">
      <c r="A2109" s="38"/>
      <c r="B2109" s="71" t="s">
        <v>2151</v>
      </c>
      <c r="C2109" s="138" t="s">
        <v>1983</v>
      </c>
      <c r="D2109" s="51" t="s">
        <v>75</v>
      </c>
      <c r="E2109" s="61">
        <v>330.54</v>
      </c>
      <c r="F2109" s="38"/>
      <c r="G2109" s="38">
        <f t="shared" si="47"/>
        <v>0</v>
      </c>
    </row>
    <row r="2110" spans="1:7" ht="102">
      <c r="A2110" s="38"/>
      <c r="B2110" s="71" t="s">
        <v>2152</v>
      </c>
      <c r="C2110" s="138" t="s">
        <v>2049</v>
      </c>
      <c r="D2110" s="51" t="s">
        <v>84</v>
      </c>
      <c r="E2110" s="61">
        <v>43.5</v>
      </c>
      <c r="F2110" s="38"/>
      <c r="G2110" s="38">
        <f t="shared" si="47"/>
        <v>0</v>
      </c>
    </row>
    <row r="2111" spans="1:7" ht="89.25">
      <c r="A2111" s="38"/>
      <c r="B2111" s="71" t="s">
        <v>2153</v>
      </c>
      <c r="C2111" s="138" t="s">
        <v>2042</v>
      </c>
      <c r="D2111" s="51" t="s">
        <v>75</v>
      </c>
      <c r="E2111" s="61">
        <v>20.2</v>
      </c>
      <c r="F2111" s="38"/>
      <c r="G2111" s="38">
        <f t="shared" si="47"/>
        <v>0</v>
      </c>
    </row>
    <row r="2112" spans="1:7" ht="51">
      <c r="A2112" s="38"/>
      <c r="B2112" s="71" t="s">
        <v>2154</v>
      </c>
      <c r="C2112" s="138" t="s">
        <v>1816</v>
      </c>
      <c r="D2112" s="51" t="s">
        <v>140</v>
      </c>
      <c r="E2112" s="61">
        <v>14</v>
      </c>
      <c r="F2112" s="38"/>
      <c r="G2112" s="38">
        <f t="shared" si="47"/>
        <v>0</v>
      </c>
    </row>
    <row r="2113" spans="1:7">
      <c r="A2113" s="38"/>
      <c r="B2113" s="71"/>
      <c r="C2113" s="50"/>
      <c r="D2113" s="51"/>
      <c r="E2113" s="61"/>
      <c r="F2113" s="38"/>
      <c r="G2113" s="38">
        <f t="shared" si="47"/>
        <v>0</v>
      </c>
    </row>
    <row r="2114" spans="1:7">
      <c r="A2114" s="38"/>
      <c r="B2114" s="71" t="s">
        <v>2155</v>
      </c>
      <c r="C2114" s="55" t="s">
        <v>146</v>
      </c>
      <c r="D2114" s="56"/>
      <c r="E2114" s="62">
        <v>0</v>
      </c>
      <c r="F2114" s="38"/>
      <c r="G2114" s="38">
        <f t="shared" si="47"/>
        <v>0</v>
      </c>
    </row>
    <row r="2115" spans="1:7" ht="191.25">
      <c r="A2115" s="38"/>
      <c r="B2115" s="71" t="s">
        <v>2156</v>
      </c>
      <c r="C2115" s="139" t="s">
        <v>2054</v>
      </c>
      <c r="D2115" s="51" t="s">
        <v>140</v>
      </c>
      <c r="E2115" s="61">
        <v>4</v>
      </c>
      <c r="F2115" s="38"/>
      <c r="G2115" s="38">
        <f t="shared" si="47"/>
        <v>0</v>
      </c>
    </row>
    <row r="2116" spans="1:7" ht="242.25">
      <c r="A2116" s="38"/>
      <c r="B2116" s="71" t="s">
        <v>2157</v>
      </c>
      <c r="C2116" s="139" t="s">
        <v>2056</v>
      </c>
      <c r="D2116" s="51" t="s">
        <v>140</v>
      </c>
      <c r="E2116" s="51">
        <v>13</v>
      </c>
      <c r="F2116" s="38"/>
      <c r="G2116" s="38">
        <f t="shared" si="47"/>
        <v>0</v>
      </c>
    </row>
    <row r="2117" spans="1:7">
      <c r="A2117" s="38"/>
      <c r="B2117" s="71"/>
      <c r="C2117" s="50"/>
      <c r="D2117" s="51"/>
      <c r="E2117" s="61"/>
      <c r="F2117" s="38"/>
      <c r="G2117" s="38">
        <f t="shared" si="47"/>
        <v>0</v>
      </c>
    </row>
    <row r="2118" spans="1:7">
      <c r="A2118" s="38"/>
      <c r="B2118" s="71" t="s">
        <v>2158</v>
      </c>
      <c r="C2118" s="55" t="s">
        <v>1992</v>
      </c>
      <c r="D2118" s="51"/>
      <c r="E2118" s="61"/>
      <c r="F2118" s="38"/>
      <c r="G2118" s="38">
        <f t="shared" si="47"/>
        <v>0</v>
      </c>
    </row>
    <row r="2119" spans="1:7" ht="191.25">
      <c r="A2119" s="38"/>
      <c r="B2119" s="71" t="s">
        <v>2159</v>
      </c>
      <c r="C2119" s="138" t="s">
        <v>2059</v>
      </c>
      <c r="D2119" s="51" t="s">
        <v>140</v>
      </c>
      <c r="E2119" s="51">
        <v>17</v>
      </c>
      <c r="F2119" s="38"/>
      <c r="G2119" s="38">
        <f t="shared" si="47"/>
        <v>0</v>
      </c>
    </row>
    <row r="2120" spans="1:7">
      <c r="A2120" s="38"/>
      <c r="B2120" s="71"/>
      <c r="C2120" s="50"/>
      <c r="D2120" s="51"/>
      <c r="E2120" s="61"/>
      <c r="F2120" s="38"/>
      <c r="G2120" s="38">
        <f t="shared" si="47"/>
        <v>0</v>
      </c>
    </row>
    <row r="2121" spans="1:7">
      <c r="A2121" s="38"/>
      <c r="B2121" s="71" t="s">
        <v>2160</v>
      </c>
      <c r="C2121" s="55" t="s">
        <v>151</v>
      </c>
      <c r="D2121" s="56"/>
      <c r="E2121" s="62">
        <v>0</v>
      </c>
      <c r="F2121" s="38"/>
      <c r="G2121" s="38">
        <f t="shared" si="47"/>
        <v>0</v>
      </c>
    </row>
    <row r="2122" spans="1:7" ht="89.25">
      <c r="A2122" s="38"/>
      <c r="B2122" s="71" t="s">
        <v>2161</v>
      </c>
      <c r="C2122" s="138" t="s">
        <v>1997</v>
      </c>
      <c r="D2122" s="51" t="s">
        <v>140</v>
      </c>
      <c r="E2122" s="61">
        <v>51</v>
      </c>
      <c r="F2122" s="38"/>
      <c r="G2122" s="38">
        <f t="shared" si="47"/>
        <v>0</v>
      </c>
    </row>
    <row r="2123" spans="1:7" ht="38.25">
      <c r="A2123" s="38"/>
      <c r="B2123" s="71" t="s">
        <v>2162</v>
      </c>
      <c r="C2123" s="138" t="s">
        <v>1999</v>
      </c>
      <c r="D2123" s="138" t="s">
        <v>140</v>
      </c>
      <c r="E2123" s="138">
        <v>5</v>
      </c>
      <c r="F2123" s="38"/>
      <c r="G2123" s="38">
        <f t="shared" si="47"/>
        <v>0</v>
      </c>
    </row>
    <row r="2124" spans="1:7" ht="38.25">
      <c r="A2124" s="38"/>
      <c r="B2124" s="142" t="s">
        <v>2163</v>
      </c>
      <c r="C2124" s="138" t="s">
        <v>2001</v>
      </c>
      <c r="D2124" s="138" t="s">
        <v>1898</v>
      </c>
      <c r="E2124" s="138">
        <v>1</v>
      </c>
      <c r="F2124" s="38"/>
      <c r="G2124" s="38">
        <f t="shared" si="47"/>
        <v>0</v>
      </c>
    </row>
    <row r="2125" spans="1:7">
      <c r="A2125" s="38"/>
      <c r="B2125" s="71"/>
      <c r="C2125" s="50"/>
      <c r="D2125" s="51"/>
      <c r="E2125" s="61"/>
      <c r="F2125" s="38"/>
      <c r="G2125" s="38">
        <f t="shared" si="47"/>
        <v>0</v>
      </c>
    </row>
    <row r="2126" spans="1:7">
      <c r="A2126" s="38"/>
      <c r="B2126" s="71" t="s">
        <v>2164</v>
      </c>
      <c r="C2126" s="55" t="s">
        <v>1840</v>
      </c>
      <c r="D2126" s="56"/>
      <c r="E2126" s="62">
        <v>0</v>
      </c>
      <c r="F2126" s="38"/>
      <c r="G2126" s="38">
        <f t="shared" si="47"/>
        <v>0</v>
      </c>
    </row>
    <row r="2127" spans="1:7" ht="114.75">
      <c r="A2127" s="38"/>
      <c r="B2127" s="71" t="s">
        <v>2165</v>
      </c>
      <c r="C2127" s="138" t="s">
        <v>2004</v>
      </c>
      <c r="D2127" s="138" t="s">
        <v>140</v>
      </c>
      <c r="E2127" s="138">
        <v>1</v>
      </c>
      <c r="F2127" s="38"/>
      <c r="G2127" s="38">
        <f t="shared" si="47"/>
        <v>0</v>
      </c>
    </row>
    <row r="2128" spans="1:7" ht="102">
      <c r="A2128" s="38"/>
      <c r="B2128" s="71" t="s">
        <v>2166</v>
      </c>
      <c r="C2128" s="138" t="s">
        <v>2006</v>
      </c>
      <c r="D2128" s="138" t="s">
        <v>140</v>
      </c>
      <c r="E2128" s="138">
        <v>3</v>
      </c>
      <c r="F2128" s="38"/>
      <c r="G2128" s="38">
        <f t="shared" si="47"/>
        <v>0</v>
      </c>
    </row>
    <row r="2129" spans="1:7" ht="25.5">
      <c r="A2129" s="38"/>
      <c r="B2129" s="71" t="s">
        <v>2702</v>
      </c>
      <c r="C2129" s="132" t="s">
        <v>2698</v>
      </c>
      <c r="D2129" s="138" t="s">
        <v>140</v>
      </c>
      <c r="E2129" s="138">
        <v>4</v>
      </c>
      <c r="F2129" s="38"/>
      <c r="G2129" s="38">
        <f t="shared" ref="G2129" si="48">E2129*F2129</f>
        <v>0</v>
      </c>
    </row>
    <row r="2130" spans="1:7">
      <c r="A2130" s="38"/>
      <c r="B2130" s="71"/>
      <c r="C2130" s="50"/>
      <c r="D2130" s="51"/>
      <c r="E2130" s="61"/>
      <c r="F2130" s="38"/>
      <c r="G2130" s="38">
        <f t="shared" si="47"/>
        <v>0</v>
      </c>
    </row>
    <row r="2131" spans="1:7">
      <c r="A2131" s="38"/>
      <c r="B2131" s="71" t="s">
        <v>2167</v>
      </c>
      <c r="C2131" s="55" t="s">
        <v>202</v>
      </c>
      <c r="D2131" s="56"/>
      <c r="E2131" s="62">
        <v>0</v>
      </c>
      <c r="F2131" s="38"/>
      <c r="G2131" s="38">
        <f t="shared" si="47"/>
        <v>0</v>
      </c>
    </row>
    <row r="2132" spans="1:7" ht="63.75">
      <c r="A2132" s="38"/>
      <c r="B2132" s="71" t="s">
        <v>2168</v>
      </c>
      <c r="C2132" s="138" t="s">
        <v>2069</v>
      </c>
      <c r="D2132" s="51" t="s">
        <v>84</v>
      </c>
      <c r="E2132" s="61">
        <v>43.5</v>
      </c>
      <c r="F2132" s="38"/>
      <c r="G2132" s="38">
        <f>E2132*F2132</f>
        <v>0</v>
      </c>
    </row>
    <row r="2133" spans="1:7">
      <c r="E2133" s="157"/>
      <c r="F2133" s="1"/>
      <c r="G2133" s="1"/>
    </row>
    <row r="2134" spans="1:7">
      <c r="A2134" s="38"/>
      <c r="B2134" s="72" t="s">
        <v>2169</v>
      </c>
      <c r="C2134" s="48"/>
      <c r="D2134" s="15"/>
      <c r="E2134" s="122"/>
      <c r="F2134" s="54"/>
      <c r="G2134" s="58">
        <f>SUM(G2073:G2133)</f>
        <v>0</v>
      </c>
    </row>
    <row r="2135" spans="1:7">
      <c r="E2135" s="157"/>
      <c r="F2135" s="1"/>
      <c r="G2135" s="1"/>
    </row>
    <row r="2136" spans="1:7">
      <c r="A2136" s="38"/>
      <c r="B2136" s="141">
        <v>3.26</v>
      </c>
      <c r="C2136" s="72" t="s">
        <v>2170</v>
      </c>
      <c r="D2136" s="49"/>
      <c r="E2136" s="60">
        <v>0</v>
      </c>
      <c r="F2136" s="129"/>
      <c r="G2136" s="129"/>
    </row>
    <row r="2137" spans="1:7">
      <c r="A2137" s="38"/>
      <c r="B2137" s="128"/>
      <c r="C2137" s="116"/>
      <c r="D2137" s="56"/>
      <c r="E2137" s="62"/>
      <c r="F2137" s="38"/>
      <c r="G2137" s="38"/>
    </row>
    <row r="2138" spans="1:7" ht="38.25">
      <c r="A2138" s="38"/>
      <c r="B2138" s="128"/>
      <c r="C2138" s="138" t="s">
        <v>60</v>
      </c>
      <c r="D2138" s="56"/>
      <c r="E2138" s="62"/>
      <c r="F2138" s="38"/>
      <c r="G2138" s="38">
        <f t="shared" ref="G2138:G2195" si="49">E2138*F2138</f>
        <v>0</v>
      </c>
    </row>
    <row r="2139" spans="1:7">
      <c r="A2139" s="38"/>
      <c r="B2139" s="128"/>
      <c r="C2139" s="116"/>
      <c r="D2139" s="56"/>
      <c r="E2139" s="62"/>
      <c r="F2139" s="38"/>
      <c r="G2139" s="38">
        <f t="shared" si="49"/>
        <v>0</v>
      </c>
    </row>
    <row r="2140" spans="1:7">
      <c r="A2140" s="38"/>
      <c r="B2140" s="71" t="s">
        <v>2171</v>
      </c>
      <c r="C2140" s="55" t="s">
        <v>62</v>
      </c>
      <c r="D2140" s="56"/>
      <c r="E2140" s="62">
        <v>0</v>
      </c>
      <c r="F2140" s="38"/>
      <c r="G2140" s="38">
        <f t="shared" si="49"/>
        <v>0</v>
      </c>
    </row>
    <row r="2141" spans="1:7" ht="191.25">
      <c r="A2141" s="38"/>
      <c r="B2141" s="71" t="s">
        <v>2172</v>
      </c>
      <c r="C2141" s="138" t="s">
        <v>64</v>
      </c>
      <c r="D2141" s="132" t="s">
        <v>38</v>
      </c>
      <c r="E2141" s="61">
        <v>1</v>
      </c>
      <c r="F2141" s="38"/>
      <c r="G2141" s="38">
        <f t="shared" si="49"/>
        <v>0</v>
      </c>
    </row>
    <row r="2142" spans="1:7" ht="51">
      <c r="A2142" s="38"/>
      <c r="B2142" s="71" t="s">
        <v>2173</v>
      </c>
      <c r="C2142" s="138" t="s">
        <v>1929</v>
      </c>
      <c r="D2142" s="132" t="s">
        <v>84</v>
      </c>
      <c r="E2142" s="61">
        <v>321.63</v>
      </c>
      <c r="F2142" s="38"/>
      <c r="G2142" s="38">
        <f t="shared" si="49"/>
        <v>0</v>
      </c>
    </row>
    <row r="2143" spans="1:7" ht="38.25">
      <c r="A2143" s="38"/>
      <c r="B2143" s="71" t="s">
        <v>2174</v>
      </c>
      <c r="C2143" s="138" t="s">
        <v>1931</v>
      </c>
      <c r="D2143" s="132" t="s">
        <v>84</v>
      </c>
      <c r="E2143" s="61">
        <v>321.63</v>
      </c>
      <c r="F2143" s="38"/>
      <c r="G2143" s="38">
        <f t="shared" si="49"/>
        <v>0</v>
      </c>
    </row>
    <row r="2144" spans="1:7" ht="63.75">
      <c r="A2144" s="38"/>
      <c r="B2144" s="71" t="s">
        <v>2175</v>
      </c>
      <c r="C2144" s="138" t="s">
        <v>1933</v>
      </c>
      <c r="D2144" s="132" t="s">
        <v>84</v>
      </c>
      <c r="E2144" s="61">
        <v>240</v>
      </c>
      <c r="F2144" s="38"/>
      <c r="G2144" s="38">
        <f t="shared" si="49"/>
        <v>0</v>
      </c>
    </row>
    <row r="2145" spans="1:7" ht="51">
      <c r="A2145" s="38"/>
      <c r="B2145" s="71" t="s">
        <v>2176</v>
      </c>
      <c r="C2145" s="138" t="s">
        <v>1935</v>
      </c>
      <c r="D2145" s="51" t="s">
        <v>75</v>
      </c>
      <c r="E2145" s="61">
        <v>186.67</v>
      </c>
      <c r="F2145" s="38"/>
      <c r="G2145" s="38">
        <f t="shared" si="49"/>
        <v>0</v>
      </c>
    </row>
    <row r="2146" spans="1:7" ht="38.25">
      <c r="A2146" s="38"/>
      <c r="B2146" s="71" t="s">
        <v>2177</v>
      </c>
      <c r="C2146" s="138" t="s">
        <v>1937</v>
      </c>
      <c r="D2146" s="51" t="s">
        <v>75</v>
      </c>
      <c r="E2146" s="61">
        <v>158.49</v>
      </c>
      <c r="F2146" s="38"/>
      <c r="G2146" s="38">
        <f t="shared" si="49"/>
        <v>0</v>
      </c>
    </row>
    <row r="2147" spans="1:7">
      <c r="A2147" s="38"/>
      <c r="B2147" s="71"/>
      <c r="C2147" s="50"/>
      <c r="D2147" s="51"/>
      <c r="E2147" s="61"/>
      <c r="F2147" s="38"/>
      <c r="G2147" s="38">
        <f t="shared" si="49"/>
        <v>0</v>
      </c>
    </row>
    <row r="2148" spans="1:7">
      <c r="A2148" s="38"/>
      <c r="B2148" s="71" t="s">
        <v>2178</v>
      </c>
      <c r="C2148" s="55" t="s">
        <v>66</v>
      </c>
      <c r="D2148" s="56"/>
      <c r="E2148" s="62">
        <v>0</v>
      </c>
      <c r="F2148" s="13"/>
      <c r="G2148" s="38">
        <f t="shared" si="49"/>
        <v>0</v>
      </c>
    </row>
    <row r="2149" spans="1:7" ht="38.25">
      <c r="A2149" s="38"/>
      <c r="B2149" s="71" t="s">
        <v>2179</v>
      </c>
      <c r="C2149" s="138" t="s">
        <v>1940</v>
      </c>
      <c r="D2149" s="51" t="s">
        <v>38</v>
      </c>
      <c r="E2149" s="112">
        <v>1</v>
      </c>
      <c r="F2149" s="4"/>
      <c r="G2149" s="38">
        <f t="shared" si="49"/>
        <v>0</v>
      </c>
    </row>
    <row r="2150" spans="1:7" ht="63.75">
      <c r="A2150" s="38"/>
      <c r="B2150" s="71" t="s">
        <v>2180</v>
      </c>
      <c r="C2150" s="138" t="s">
        <v>1942</v>
      </c>
      <c r="D2150" s="51" t="s">
        <v>38</v>
      </c>
      <c r="E2150" s="112">
        <v>1</v>
      </c>
      <c r="F2150" s="4"/>
      <c r="G2150" s="38">
        <f t="shared" si="49"/>
        <v>0</v>
      </c>
    </row>
    <row r="2151" spans="1:7">
      <c r="A2151" s="38"/>
      <c r="B2151" s="71"/>
      <c r="C2151" s="50"/>
      <c r="D2151" s="51"/>
      <c r="E2151" s="61"/>
      <c r="F2151" s="38"/>
      <c r="G2151" s="38">
        <f t="shared" si="49"/>
        <v>0</v>
      </c>
    </row>
    <row r="2152" spans="1:7">
      <c r="A2152" s="38"/>
      <c r="B2152" s="71" t="s">
        <v>2181</v>
      </c>
      <c r="C2152" s="55" t="s">
        <v>72</v>
      </c>
      <c r="D2152" s="56"/>
      <c r="E2152" s="62">
        <v>0</v>
      </c>
      <c r="F2152" s="38"/>
      <c r="G2152" s="38">
        <f t="shared" si="49"/>
        <v>0</v>
      </c>
    </row>
    <row r="2153" spans="1:7" ht="76.5">
      <c r="A2153" s="38"/>
      <c r="B2153" s="71" t="s">
        <v>2182</v>
      </c>
      <c r="C2153" s="138" t="s">
        <v>1945</v>
      </c>
      <c r="D2153" s="51" t="s">
        <v>75</v>
      </c>
      <c r="E2153" s="112">
        <v>278.02</v>
      </c>
      <c r="F2153" s="38"/>
      <c r="G2153" s="38">
        <f t="shared" si="49"/>
        <v>0</v>
      </c>
    </row>
    <row r="2154" spans="1:7" ht="63.75">
      <c r="A2154" s="38"/>
      <c r="B2154" s="71" t="s">
        <v>2183</v>
      </c>
      <c r="C2154" s="138" t="s">
        <v>2025</v>
      </c>
      <c r="D2154" s="51" t="s">
        <v>75</v>
      </c>
      <c r="E2154" s="112">
        <v>278.02</v>
      </c>
      <c r="F2154" s="38"/>
      <c r="G2154" s="38">
        <f t="shared" si="49"/>
        <v>0</v>
      </c>
    </row>
    <row r="2155" spans="1:7" ht="63.75">
      <c r="A2155" s="38"/>
      <c r="B2155" s="71" t="s">
        <v>2184</v>
      </c>
      <c r="C2155" s="138" t="s">
        <v>2027</v>
      </c>
      <c r="D2155" s="51" t="s">
        <v>75</v>
      </c>
      <c r="E2155" s="112">
        <v>278.02</v>
      </c>
      <c r="F2155" s="38"/>
      <c r="G2155" s="38">
        <f t="shared" si="49"/>
        <v>0</v>
      </c>
    </row>
    <row r="2156" spans="1:7" ht="63.75">
      <c r="A2156" s="38"/>
      <c r="B2156" s="71" t="s">
        <v>2185</v>
      </c>
      <c r="C2156" s="138" t="s">
        <v>1951</v>
      </c>
      <c r="D2156" s="51" t="s">
        <v>84</v>
      </c>
      <c r="E2156" s="61">
        <v>218.5</v>
      </c>
      <c r="F2156" s="38"/>
      <c r="G2156" s="38">
        <f t="shared" si="49"/>
        <v>0</v>
      </c>
    </row>
    <row r="2157" spans="1:7" ht="76.5">
      <c r="A2157" s="38"/>
      <c r="B2157" s="71" t="s">
        <v>2186</v>
      </c>
      <c r="C2157" s="138" t="s">
        <v>2030</v>
      </c>
      <c r="D2157" s="132" t="s">
        <v>75</v>
      </c>
      <c r="E2157" s="61">
        <v>68.84</v>
      </c>
      <c r="F2157" s="38"/>
      <c r="G2157" s="38">
        <f t="shared" si="49"/>
        <v>0</v>
      </c>
    </row>
    <row r="2158" spans="1:7" ht="63.75">
      <c r="A2158" s="38"/>
      <c r="B2158" s="71" t="s">
        <v>2187</v>
      </c>
      <c r="C2158" s="138" t="s">
        <v>1955</v>
      </c>
      <c r="D2158" s="51" t="s">
        <v>84</v>
      </c>
      <c r="E2158" s="61">
        <v>22.15</v>
      </c>
      <c r="F2158" s="38"/>
      <c r="G2158" s="38">
        <f t="shared" si="49"/>
        <v>0</v>
      </c>
    </row>
    <row r="2159" spans="1:7">
      <c r="A2159" s="38"/>
      <c r="B2159" s="71"/>
      <c r="C2159" s="50"/>
      <c r="D2159" s="51"/>
      <c r="E2159" s="61"/>
      <c r="F2159" s="38"/>
      <c r="G2159" s="38">
        <f t="shared" si="49"/>
        <v>0</v>
      </c>
    </row>
    <row r="2160" spans="1:7">
      <c r="A2160" s="38"/>
      <c r="B2160" s="71" t="s">
        <v>2188</v>
      </c>
      <c r="C2160" s="55" t="s">
        <v>93</v>
      </c>
      <c r="D2160" s="56"/>
      <c r="E2160" s="62">
        <v>0</v>
      </c>
      <c r="F2160" s="38"/>
      <c r="G2160" s="38">
        <f t="shared" si="49"/>
        <v>0</v>
      </c>
    </row>
    <row r="2161" spans="1:7" ht="63.75">
      <c r="A2161" s="38"/>
      <c r="B2161" s="71" t="s">
        <v>2189</v>
      </c>
      <c r="C2161" s="138" t="s">
        <v>1958</v>
      </c>
      <c r="D2161" s="51" t="s">
        <v>75</v>
      </c>
      <c r="E2161" s="112">
        <v>42.92</v>
      </c>
      <c r="F2161" s="4"/>
      <c r="G2161" s="38">
        <f t="shared" si="49"/>
        <v>0</v>
      </c>
    </row>
    <row r="2162" spans="1:7" ht="76.5">
      <c r="A2162" s="38"/>
      <c r="B2162" s="71" t="s">
        <v>2190</v>
      </c>
      <c r="C2162" s="138" t="s">
        <v>1960</v>
      </c>
      <c r="D2162" s="138" t="s">
        <v>75</v>
      </c>
      <c r="E2162" s="149">
        <v>85.84</v>
      </c>
      <c r="F2162" s="4"/>
      <c r="G2162" s="38">
        <f t="shared" si="49"/>
        <v>0</v>
      </c>
    </row>
    <row r="2163" spans="1:7" ht="89.25">
      <c r="A2163" s="38"/>
      <c r="B2163" s="71" t="s">
        <v>2191</v>
      </c>
      <c r="C2163" s="138" t="s">
        <v>1962</v>
      </c>
      <c r="D2163" s="51" t="s">
        <v>75</v>
      </c>
      <c r="E2163" s="61">
        <v>710.84</v>
      </c>
      <c r="F2163" s="38"/>
      <c r="G2163" s="38">
        <f t="shared" si="49"/>
        <v>0</v>
      </c>
    </row>
    <row r="2164" spans="1:7" ht="76.5">
      <c r="A2164" s="38"/>
      <c r="B2164" s="142" t="s">
        <v>2192</v>
      </c>
      <c r="C2164" s="138" t="s">
        <v>2037</v>
      </c>
      <c r="D2164" s="138" t="s">
        <v>75</v>
      </c>
      <c r="E2164" s="138">
        <v>101.55</v>
      </c>
      <c r="F2164" s="38"/>
      <c r="G2164" s="38">
        <f t="shared" si="49"/>
        <v>0</v>
      </c>
    </row>
    <row r="2165" spans="1:7" ht="51">
      <c r="A2165" s="38"/>
      <c r="B2165" s="71" t="s">
        <v>2193</v>
      </c>
      <c r="C2165" s="138" t="s">
        <v>1966</v>
      </c>
      <c r="D2165" s="138" t="s">
        <v>91</v>
      </c>
      <c r="E2165" s="138">
        <v>2</v>
      </c>
      <c r="F2165" s="4"/>
      <c r="G2165" s="38">
        <f t="shared" si="49"/>
        <v>0</v>
      </c>
    </row>
    <row r="2166" spans="1:7" ht="89.25">
      <c r="A2166" s="38"/>
      <c r="B2166" s="71" t="s">
        <v>2194</v>
      </c>
      <c r="C2166" s="138" t="s">
        <v>2040</v>
      </c>
      <c r="D2166" s="51" t="s">
        <v>75</v>
      </c>
      <c r="E2166" s="61">
        <v>33.840000000000003</v>
      </c>
      <c r="F2166" s="38"/>
      <c r="G2166" s="38">
        <f t="shared" si="49"/>
        <v>0</v>
      </c>
    </row>
    <row r="2167" spans="1:7" ht="89.25">
      <c r="A2167" s="38"/>
      <c r="B2167" s="71" t="s">
        <v>2195</v>
      </c>
      <c r="C2167" s="138" t="s">
        <v>2042</v>
      </c>
      <c r="D2167" s="51" t="s">
        <v>75</v>
      </c>
      <c r="E2167" s="61">
        <v>71.400000000000006</v>
      </c>
      <c r="F2167" s="38"/>
      <c r="G2167" s="38">
        <f t="shared" si="49"/>
        <v>0</v>
      </c>
    </row>
    <row r="2168" spans="1:7" ht="102">
      <c r="A2168" s="38"/>
      <c r="B2168" s="71" t="s">
        <v>2196</v>
      </c>
      <c r="C2168" s="138" t="s">
        <v>1974</v>
      </c>
      <c r="D2168" s="51" t="s">
        <v>75</v>
      </c>
      <c r="E2168" s="61">
        <v>546.25</v>
      </c>
      <c r="F2168" s="38"/>
      <c r="G2168" s="38">
        <f t="shared" si="49"/>
        <v>0</v>
      </c>
    </row>
    <row r="2169" spans="1:7" ht="89.25">
      <c r="A2169" s="38"/>
      <c r="B2169" s="71" t="s">
        <v>2197</v>
      </c>
      <c r="C2169" s="138" t="s">
        <v>1976</v>
      </c>
      <c r="D2169" s="51" t="s">
        <v>84</v>
      </c>
      <c r="E2169" s="61">
        <v>245</v>
      </c>
      <c r="F2169" s="38"/>
      <c r="G2169" s="38">
        <f t="shared" si="49"/>
        <v>0</v>
      </c>
    </row>
    <row r="2170" spans="1:7">
      <c r="A2170" s="38"/>
      <c r="B2170" s="71"/>
      <c r="C2170" s="50"/>
      <c r="D2170" s="51"/>
      <c r="E2170" s="61"/>
      <c r="F2170" s="38"/>
      <c r="G2170" s="38">
        <f t="shared" si="49"/>
        <v>0</v>
      </c>
    </row>
    <row r="2171" spans="1:7">
      <c r="A2171" s="38"/>
      <c r="B2171" s="71" t="s">
        <v>2198</v>
      </c>
      <c r="C2171" s="55" t="s">
        <v>123</v>
      </c>
      <c r="D2171" s="56"/>
      <c r="E2171" s="62">
        <v>0</v>
      </c>
      <c r="F2171" s="38"/>
      <c r="G2171" s="38">
        <f t="shared" si="49"/>
        <v>0</v>
      </c>
    </row>
    <row r="2172" spans="1:7" ht="127.5">
      <c r="A2172" s="38"/>
      <c r="B2172" s="71" t="s">
        <v>2199</v>
      </c>
      <c r="C2172" s="138" t="s">
        <v>1981</v>
      </c>
      <c r="D2172" s="51" t="s">
        <v>75</v>
      </c>
      <c r="E2172" s="61">
        <v>345.16</v>
      </c>
      <c r="F2172" s="38"/>
      <c r="G2172" s="38">
        <f t="shared" si="49"/>
        <v>0</v>
      </c>
    </row>
    <row r="2173" spans="1:7" ht="76.5">
      <c r="A2173" s="38"/>
      <c r="B2173" s="71" t="s">
        <v>2200</v>
      </c>
      <c r="C2173" s="138" t="s">
        <v>1983</v>
      </c>
      <c r="D2173" s="51" t="s">
        <v>75</v>
      </c>
      <c r="E2173" s="61">
        <v>332.02</v>
      </c>
      <c r="F2173" s="38"/>
      <c r="G2173" s="38">
        <f t="shared" si="49"/>
        <v>0</v>
      </c>
    </row>
    <row r="2174" spans="1:7" ht="102">
      <c r="A2174" s="38"/>
      <c r="B2174" s="71" t="s">
        <v>2201</v>
      </c>
      <c r="C2174" s="138" t="s">
        <v>2049</v>
      </c>
      <c r="D2174" s="51" t="s">
        <v>84</v>
      </c>
      <c r="E2174" s="61">
        <v>33.69</v>
      </c>
      <c r="F2174" s="38"/>
      <c r="G2174" s="38">
        <f t="shared" si="49"/>
        <v>0</v>
      </c>
    </row>
    <row r="2175" spans="1:7" ht="89.25">
      <c r="A2175" s="38"/>
      <c r="B2175" s="71" t="s">
        <v>2202</v>
      </c>
      <c r="C2175" s="138" t="s">
        <v>2042</v>
      </c>
      <c r="D2175" s="51" t="s">
        <v>75</v>
      </c>
      <c r="E2175" s="61">
        <v>13.14</v>
      </c>
      <c r="F2175" s="38"/>
      <c r="G2175" s="38">
        <f t="shared" si="49"/>
        <v>0</v>
      </c>
    </row>
    <row r="2176" spans="1:7" ht="51">
      <c r="A2176" s="38"/>
      <c r="B2176" s="71" t="s">
        <v>2203</v>
      </c>
      <c r="C2176" s="50" t="s">
        <v>1816</v>
      </c>
      <c r="D2176" s="51" t="s">
        <v>140</v>
      </c>
      <c r="E2176" s="61">
        <v>14</v>
      </c>
      <c r="F2176" s="38"/>
      <c r="G2176" s="38">
        <f t="shared" si="49"/>
        <v>0</v>
      </c>
    </row>
    <row r="2177" spans="1:7">
      <c r="A2177" s="38"/>
      <c r="B2177" s="71"/>
      <c r="C2177" s="50"/>
      <c r="D2177" s="51"/>
      <c r="E2177" s="61"/>
      <c r="F2177" s="38"/>
      <c r="G2177" s="38">
        <f t="shared" si="49"/>
        <v>0</v>
      </c>
    </row>
    <row r="2178" spans="1:7">
      <c r="A2178" s="38"/>
      <c r="B2178" s="71" t="s">
        <v>2204</v>
      </c>
      <c r="C2178" s="55" t="s">
        <v>146</v>
      </c>
      <c r="D2178" s="56"/>
      <c r="E2178" s="62">
        <v>0</v>
      </c>
      <c r="F2178" s="38"/>
      <c r="G2178" s="38">
        <f t="shared" si="49"/>
        <v>0</v>
      </c>
    </row>
    <row r="2179" spans="1:7" ht="191.25">
      <c r="A2179" s="38"/>
      <c r="B2179" s="71" t="s">
        <v>2205</v>
      </c>
      <c r="C2179" s="139" t="s">
        <v>2054</v>
      </c>
      <c r="D2179" s="51" t="s">
        <v>140</v>
      </c>
      <c r="E2179" s="61">
        <v>4</v>
      </c>
      <c r="F2179" s="38"/>
      <c r="G2179" s="38">
        <f t="shared" si="49"/>
        <v>0</v>
      </c>
    </row>
    <row r="2180" spans="1:7" ht="242.25">
      <c r="A2180" s="38"/>
      <c r="B2180" s="71" t="s">
        <v>2206</v>
      </c>
      <c r="C2180" s="139" t="s">
        <v>2056</v>
      </c>
      <c r="D2180" s="51" t="s">
        <v>140</v>
      </c>
      <c r="E2180" s="51">
        <v>13</v>
      </c>
      <c r="F2180" s="38"/>
      <c r="G2180" s="38">
        <f t="shared" si="49"/>
        <v>0</v>
      </c>
    </row>
    <row r="2181" spans="1:7">
      <c r="A2181" s="38"/>
      <c r="B2181" s="71"/>
      <c r="C2181" s="50"/>
      <c r="D2181" s="51"/>
      <c r="E2181" s="61"/>
      <c r="F2181" s="38"/>
      <c r="G2181" s="38">
        <f t="shared" si="49"/>
        <v>0</v>
      </c>
    </row>
    <row r="2182" spans="1:7">
      <c r="A2182" s="38"/>
      <c r="B2182" s="71" t="s">
        <v>2207</v>
      </c>
      <c r="C2182" s="55" t="s">
        <v>1992</v>
      </c>
      <c r="D2182" s="51"/>
      <c r="E2182" s="61"/>
      <c r="F2182" s="38"/>
      <c r="G2182" s="38">
        <f t="shared" si="49"/>
        <v>0</v>
      </c>
    </row>
    <row r="2183" spans="1:7" ht="191.25">
      <c r="A2183" s="38"/>
      <c r="B2183" s="71" t="s">
        <v>2208</v>
      </c>
      <c r="C2183" s="138" t="s">
        <v>2059</v>
      </c>
      <c r="D2183" s="51" t="s">
        <v>140</v>
      </c>
      <c r="E2183" s="51">
        <v>18</v>
      </c>
      <c r="F2183" s="38"/>
      <c r="G2183" s="38">
        <f t="shared" si="49"/>
        <v>0</v>
      </c>
    </row>
    <row r="2184" spans="1:7">
      <c r="A2184" s="38"/>
      <c r="B2184" s="71"/>
      <c r="C2184" s="50"/>
      <c r="D2184" s="51"/>
      <c r="E2184" s="61"/>
      <c r="F2184" s="38"/>
      <c r="G2184" s="38">
        <f t="shared" si="49"/>
        <v>0</v>
      </c>
    </row>
    <row r="2185" spans="1:7">
      <c r="A2185" s="38"/>
      <c r="B2185" s="71" t="s">
        <v>2209</v>
      </c>
      <c r="C2185" s="55" t="s">
        <v>151</v>
      </c>
      <c r="D2185" s="56"/>
      <c r="E2185" s="62">
        <v>0</v>
      </c>
      <c r="F2185" s="38"/>
      <c r="G2185" s="38">
        <f t="shared" si="49"/>
        <v>0</v>
      </c>
    </row>
    <row r="2186" spans="1:7" ht="89.25">
      <c r="A2186" s="38"/>
      <c r="B2186" s="71" t="s">
        <v>2210</v>
      </c>
      <c r="C2186" s="138" t="s">
        <v>1997</v>
      </c>
      <c r="D2186" s="51" t="s">
        <v>140</v>
      </c>
      <c r="E2186" s="61">
        <v>50</v>
      </c>
      <c r="F2186" s="38"/>
      <c r="G2186" s="38">
        <f t="shared" si="49"/>
        <v>0</v>
      </c>
    </row>
    <row r="2187" spans="1:7" ht="38.25">
      <c r="A2187" s="38"/>
      <c r="B2187" s="71" t="s">
        <v>2211</v>
      </c>
      <c r="C2187" s="138" t="s">
        <v>1999</v>
      </c>
      <c r="D2187" s="138" t="s">
        <v>140</v>
      </c>
      <c r="E2187" s="138">
        <v>5</v>
      </c>
      <c r="F2187" s="38"/>
      <c r="G2187" s="38">
        <f t="shared" si="49"/>
        <v>0</v>
      </c>
    </row>
    <row r="2188" spans="1:7" ht="38.25">
      <c r="A2188" s="38"/>
      <c r="B2188" s="71" t="s">
        <v>2212</v>
      </c>
      <c r="C2188" s="138" t="s">
        <v>2001</v>
      </c>
      <c r="D2188" s="138" t="s">
        <v>1898</v>
      </c>
      <c r="E2188" s="138">
        <v>1</v>
      </c>
      <c r="F2188" s="38"/>
      <c r="G2188" s="38">
        <f t="shared" si="49"/>
        <v>0</v>
      </c>
    </row>
    <row r="2189" spans="1:7">
      <c r="A2189" s="38"/>
      <c r="B2189" s="71"/>
      <c r="C2189" s="50"/>
      <c r="D2189" s="51"/>
      <c r="E2189" s="61"/>
      <c r="F2189" s="38"/>
      <c r="G2189" s="38">
        <f t="shared" si="49"/>
        <v>0</v>
      </c>
    </row>
    <row r="2190" spans="1:7">
      <c r="A2190" s="38"/>
      <c r="B2190" s="71" t="s">
        <v>2213</v>
      </c>
      <c r="C2190" s="55" t="s">
        <v>1840</v>
      </c>
      <c r="D2190" s="56"/>
      <c r="E2190" s="62">
        <v>0</v>
      </c>
      <c r="F2190" s="38"/>
      <c r="G2190" s="38">
        <f t="shared" si="49"/>
        <v>0</v>
      </c>
    </row>
    <row r="2191" spans="1:7" ht="114.75">
      <c r="A2191" s="38"/>
      <c r="B2191" s="71" t="s">
        <v>2214</v>
      </c>
      <c r="C2191" s="138" t="s">
        <v>2004</v>
      </c>
      <c r="D2191" s="51" t="s">
        <v>140</v>
      </c>
      <c r="E2191" s="61">
        <v>1</v>
      </c>
      <c r="F2191" s="38"/>
      <c r="G2191" s="38">
        <f t="shared" si="49"/>
        <v>0</v>
      </c>
    </row>
    <row r="2192" spans="1:7" ht="102">
      <c r="A2192" s="38"/>
      <c r="B2192" s="71" t="s">
        <v>2215</v>
      </c>
      <c r="C2192" s="138" t="s">
        <v>2006</v>
      </c>
      <c r="D2192" s="51" t="s">
        <v>140</v>
      </c>
      <c r="E2192" s="61">
        <v>3</v>
      </c>
      <c r="F2192" s="38"/>
      <c r="G2192" s="38">
        <f t="shared" si="49"/>
        <v>0</v>
      </c>
    </row>
    <row r="2193" spans="1:7" ht="25.5">
      <c r="A2193" s="38"/>
      <c r="B2193" s="71" t="s">
        <v>2701</v>
      </c>
      <c r="C2193" s="132" t="s">
        <v>2698</v>
      </c>
      <c r="D2193" s="51" t="s">
        <v>140</v>
      </c>
      <c r="E2193" s="61">
        <v>4</v>
      </c>
      <c r="F2193" s="38"/>
      <c r="G2193" s="38">
        <f>E2193*F2193</f>
        <v>0</v>
      </c>
    </row>
    <row r="2194" spans="1:7">
      <c r="A2194" s="38"/>
      <c r="B2194" s="71"/>
      <c r="C2194" s="50"/>
      <c r="D2194" s="51"/>
      <c r="E2194" s="61"/>
      <c r="F2194" s="38"/>
      <c r="G2194" s="38">
        <f t="shared" si="49"/>
        <v>0</v>
      </c>
    </row>
    <row r="2195" spans="1:7">
      <c r="A2195" s="38"/>
      <c r="B2195" s="71" t="s">
        <v>2216</v>
      </c>
      <c r="C2195" s="55" t="s">
        <v>202</v>
      </c>
      <c r="D2195" s="56"/>
      <c r="E2195" s="62">
        <v>0</v>
      </c>
      <c r="F2195" s="38"/>
      <c r="G2195" s="38">
        <f t="shared" si="49"/>
        <v>0</v>
      </c>
    </row>
    <row r="2196" spans="1:7" ht="63.75">
      <c r="A2196" s="38"/>
      <c r="B2196" s="71" t="s">
        <v>2217</v>
      </c>
      <c r="C2196" s="138" t="s">
        <v>2069</v>
      </c>
      <c r="D2196" s="51" t="s">
        <v>84</v>
      </c>
      <c r="E2196" s="61">
        <v>33.69</v>
      </c>
      <c r="F2196" s="38"/>
      <c r="G2196" s="38">
        <f>E2196*F2196</f>
        <v>0</v>
      </c>
    </row>
    <row r="2197" spans="1:7">
      <c r="E2197" s="157"/>
      <c r="F2197" s="1"/>
      <c r="G2197" s="1"/>
    </row>
    <row r="2198" spans="1:7">
      <c r="A2198" s="38"/>
      <c r="B2198" s="72" t="s">
        <v>2218</v>
      </c>
      <c r="C2198" s="48"/>
      <c r="D2198" s="15"/>
      <c r="E2198" s="122"/>
      <c r="F2198" s="54"/>
      <c r="G2198" s="58">
        <f>SUM(G2137:G2197)</f>
        <v>0</v>
      </c>
    </row>
    <row r="2199" spans="1:7">
      <c r="E2199" s="157"/>
      <c r="F2199" s="1"/>
      <c r="G2199" s="1"/>
    </row>
    <row r="2200" spans="1:7">
      <c r="A2200" s="38"/>
      <c r="B2200" s="141">
        <v>3.27</v>
      </c>
      <c r="C2200" s="72" t="s">
        <v>2219</v>
      </c>
      <c r="D2200" s="49"/>
      <c r="E2200" s="60">
        <v>0</v>
      </c>
      <c r="F2200" s="129"/>
      <c r="G2200" s="129"/>
    </row>
    <row r="2201" spans="1:7">
      <c r="A2201" s="38"/>
      <c r="B2201" s="128"/>
      <c r="C2201" s="116"/>
      <c r="D2201" s="56"/>
      <c r="E2201" s="62"/>
      <c r="F2201" s="38"/>
      <c r="G2201" s="38"/>
    </row>
    <row r="2202" spans="1:7" ht="38.25">
      <c r="A2202" s="38"/>
      <c r="B2202" s="128"/>
      <c r="C2202" s="138" t="s">
        <v>60</v>
      </c>
      <c r="D2202" s="56"/>
      <c r="E2202" s="62"/>
      <c r="F2202" s="38"/>
      <c r="G2202" s="38"/>
    </row>
    <row r="2203" spans="1:7">
      <c r="A2203" s="38"/>
      <c r="B2203" s="128"/>
      <c r="C2203" s="116"/>
      <c r="D2203" s="56"/>
      <c r="E2203" s="62"/>
      <c r="F2203" s="38"/>
      <c r="G2203" s="38"/>
    </row>
    <row r="2204" spans="1:7">
      <c r="A2204" s="38"/>
      <c r="B2204" s="145" t="s">
        <v>2220</v>
      </c>
      <c r="C2204" s="55" t="s">
        <v>62</v>
      </c>
      <c r="D2204" s="56"/>
      <c r="E2204" s="62">
        <v>0</v>
      </c>
      <c r="F2204" s="38"/>
      <c r="G2204" s="38"/>
    </row>
    <row r="2205" spans="1:7" ht="191.25">
      <c r="A2205" s="38"/>
      <c r="B2205" s="145" t="s">
        <v>2221</v>
      </c>
      <c r="C2205" s="138" t="s">
        <v>64</v>
      </c>
      <c r="D2205" s="132" t="s">
        <v>38</v>
      </c>
      <c r="E2205" s="61">
        <v>1</v>
      </c>
      <c r="F2205" s="38"/>
      <c r="G2205" s="38">
        <f>E2205*F2205</f>
        <v>0</v>
      </c>
    </row>
    <row r="2206" spans="1:7" ht="51">
      <c r="A2206" s="38"/>
      <c r="B2206" s="145" t="s">
        <v>2222</v>
      </c>
      <c r="C2206" s="138" t="s">
        <v>1929</v>
      </c>
      <c r="D2206" s="132" t="s">
        <v>84</v>
      </c>
      <c r="E2206" s="61">
        <v>235.92</v>
      </c>
      <c r="F2206" s="38"/>
      <c r="G2206" s="38">
        <f t="shared" ref="G2206:G2261" si="50">E2206*F2206</f>
        <v>0</v>
      </c>
    </row>
    <row r="2207" spans="1:7" ht="38.25">
      <c r="A2207" s="38"/>
      <c r="B2207" s="145" t="s">
        <v>2223</v>
      </c>
      <c r="C2207" s="138" t="s">
        <v>1931</v>
      </c>
      <c r="D2207" s="132" t="s">
        <v>84</v>
      </c>
      <c r="E2207" s="61">
        <v>235.92</v>
      </c>
      <c r="F2207" s="38"/>
      <c r="G2207" s="38">
        <f t="shared" si="50"/>
        <v>0</v>
      </c>
    </row>
    <row r="2208" spans="1:7" ht="63.75">
      <c r="A2208" s="38"/>
      <c r="B2208" s="145" t="s">
        <v>2224</v>
      </c>
      <c r="C2208" s="138" t="s">
        <v>1933</v>
      </c>
      <c r="D2208" s="132" t="s">
        <v>84</v>
      </c>
      <c r="E2208" s="61">
        <v>205</v>
      </c>
      <c r="F2208" s="38"/>
      <c r="G2208" s="38">
        <f t="shared" si="50"/>
        <v>0</v>
      </c>
    </row>
    <row r="2209" spans="1:7" ht="51">
      <c r="A2209" s="38"/>
      <c r="B2209" s="145" t="s">
        <v>2225</v>
      </c>
      <c r="C2209" s="138" t="s">
        <v>1935</v>
      </c>
      <c r="D2209" s="51" t="s">
        <v>75</v>
      </c>
      <c r="E2209" s="61">
        <v>122.64</v>
      </c>
      <c r="F2209" s="38"/>
      <c r="G2209" s="38">
        <f t="shared" si="50"/>
        <v>0</v>
      </c>
    </row>
    <row r="2210" spans="1:7" ht="38.25">
      <c r="A2210" s="38"/>
      <c r="B2210" s="145" t="s">
        <v>2226</v>
      </c>
      <c r="C2210" s="138" t="s">
        <v>1937</v>
      </c>
      <c r="D2210" s="51" t="s">
        <v>75</v>
      </c>
      <c r="E2210" s="61">
        <v>155.63</v>
      </c>
      <c r="F2210" s="38"/>
      <c r="G2210" s="38">
        <f t="shared" si="50"/>
        <v>0</v>
      </c>
    </row>
    <row r="2211" spans="1:7">
      <c r="A2211" s="38"/>
      <c r="B2211" s="71"/>
      <c r="C2211" s="50"/>
      <c r="D2211" s="51"/>
      <c r="E2211" s="61"/>
      <c r="F2211" s="38"/>
      <c r="G2211" s="38">
        <f t="shared" si="50"/>
        <v>0</v>
      </c>
    </row>
    <row r="2212" spans="1:7">
      <c r="A2212" s="38"/>
      <c r="B2212" s="71" t="s">
        <v>2227</v>
      </c>
      <c r="C2212" s="55" t="s">
        <v>66</v>
      </c>
      <c r="D2212" s="56"/>
      <c r="E2212" s="62">
        <v>0</v>
      </c>
      <c r="F2212" s="13"/>
      <c r="G2212" s="38">
        <f t="shared" si="50"/>
        <v>0</v>
      </c>
    </row>
    <row r="2213" spans="1:7" ht="38.25">
      <c r="A2213" s="38"/>
      <c r="B2213" s="71" t="s">
        <v>2228</v>
      </c>
      <c r="C2213" s="138" t="s">
        <v>1940</v>
      </c>
      <c r="D2213" s="51" t="s">
        <v>38</v>
      </c>
      <c r="E2213" s="112">
        <v>1</v>
      </c>
      <c r="F2213" s="4"/>
      <c r="G2213" s="38">
        <f t="shared" si="50"/>
        <v>0</v>
      </c>
    </row>
    <row r="2214" spans="1:7" ht="63.75">
      <c r="A2214" s="38"/>
      <c r="B2214" s="71" t="s">
        <v>2229</v>
      </c>
      <c r="C2214" s="138" t="s">
        <v>1942</v>
      </c>
      <c r="D2214" s="51" t="s">
        <v>38</v>
      </c>
      <c r="E2214" s="112">
        <v>1</v>
      </c>
      <c r="F2214" s="4"/>
      <c r="G2214" s="38">
        <f t="shared" si="50"/>
        <v>0</v>
      </c>
    </row>
    <row r="2215" spans="1:7">
      <c r="A2215" s="38"/>
      <c r="B2215" s="71"/>
      <c r="C2215" s="50"/>
      <c r="D2215" s="51"/>
      <c r="E2215" s="61"/>
      <c r="F2215" s="38"/>
      <c r="G2215" s="38">
        <f t="shared" si="50"/>
        <v>0</v>
      </c>
    </row>
    <row r="2216" spans="1:7">
      <c r="A2216" s="38"/>
      <c r="B2216" s="71" t="s">
        <v>2230</v>
      </c>
      <c r="C2216" s="55" t="s">
        <v>72</v>
      </c>
      <c r="D2216" s="56"/>
      <c r="E2216" s="62">
        <v>0</v>
      </c>
      <c r="F2216" s="38"/>
      <c r="G2216" s="38">
        <f t="shared" si="50"/>
        <v>0</v>
      </c>
    </row>
    <row r="2217" spans="1:7" ht="76.5">
      <c r="A2217" s="38"/>
      <c r="B2217" s="145" t="s">
        <v>2231</v>
      </c>
      <c r="C2217" s="138" t="s">
        <v>1945</v>
      </c>
      <c r="D2217" s="51" t="s">
        <v>75</v>
      </c>
      <c r="E2217" s="112">
        <v>212.93</v>
      </c>
      <c r="F2217" s="38"/>
      <c r="G2217" s="38">
        <f t="shared" si="50"/>
        <v>0</v>
      </c>
    </row>
    <row r="2218" spans="1:7" ht="63.75">
      <c r="A2218" s="38"/>
      <c r="B2218" s="145" t="s">
        <v>2232</v>
      </c>
      <c r="C2218" s="138" t="s">
        <v>2025</v>
      </c>
      <c r="D2218" s="51" t="s">
        <v>75</v>
      </c>
      <c r="E2218" s="112">
        <v>212.93</v>
      </c>
      <c r="F2218" s="38"/>
      <c r="G2218" s="38">
        <f t="shared" si="50"/>
        <v>0</v>
      </c>
    </row>
    <row r="2219" spans="1:7" ht="63.75">
      <c r="A2219" s="38"/>
      <c r="B2219" s="145" t="s">
        <v>2233</v>
      </c>
      <c r="C2219" s="138" t="s">
        <v>2027</v>
      </c>
      <c r="D2219" s="51" t="s">
        <v>75</v>
      </c>
      <c r="E2219" s="112">
        <v>212.93</v>
      </c>
      <c r="F2219" s="38"/>
      <c r="G2219" s="38">
        <f t="shared" si="50"/>
        <v>0</v>
      </c>
    </row>
    <row r="2220" spans="1:7" ht="63.75">
      <c r="A2220" s="38"/>
      <c r="B2220" s="145" t="s">
        <v>2234</v>
      </c>
      <c r="C2220" s="138" t="s">
        <v>1951</v>
      </c>
      <c r="D2220" s="51" t="s">
        <v>84</v>
      </c>
      <c r="E2220" s="61">
        <v>165.98</v>
      </c>
      <c r="F2220" s="38"/>
      <c r="G2220" s="38">
        <f t="shared" si="50"/>
        <v>0</v>
      </c>
    </row>
    <row r="2221" spans="1:7" ht="76.5">
      <c r="A2221" s="38"/>
      <c r="B2221" s="145" t="s">
        <v>2235</v>
      </c>
      <c r="C2221" s="138" t="s">
        <v>2030</v>
      </c>
      <c r="D2221" s="132" t="s">
        <v>75</v>
      </c>
      <c r="E2221" s="61">
        <v>68.84</v>
      </c>
      <c r="F2221" s="38"/>
      <c r="G2221" s="38">
        <f t="shared" si="50"/>
        <v>0</v>
      </c>
    </row>
    <row r="2222" spans="1:7" ht="63.75">
      <c r="A2222" s="38"/>
      <c r="B2222" s="145" t="s">
        <v>2236</v>
      </c>
      <c r="C2222" s="138" t="s">
        <v>1955</v>
      </c>
      <c r="D2222" s="51" t="s">
        <v>84</v>
      </c>
      <c r="E2222" s="61">
        <v>18.399999999999999</v>
      </c>
      <c r="F2222" s="38"/>
      <c r="G2222" s="38">
        <f t="shared" si="50"/>
        <v>0</v>
      </c>
    </row>
    <row r="2223" spans="1:7">
      <c r="A2223" s="38"/>
      <c r="B2223" s="71"/>
      <c r="C2223" s="50"/>
      <c r="D2223" s="51"/>
      <c r="E2223" s="61"/>
      <c r="F2223" s="38"/>
      <c r="G2223" s="38">
        <f t="shared" si="50"/>
        <v>0</v>
      </c>
    </row>
    <row r="2224" spans="1:7">
      <c r="A2224" s="38"/>
      <c r="B2224" s="71" t="s">
        <v>2237</v>
      </c>
      <c r="C2224" s="55" t="s">
        <v>93</v>
      </c>
      <c r="D2224" s="56"/>
      <c r="E2224" s="62">
        <v>0</v>
      </c>
      <c r="F2224" s="38"/>
      <c r="G2224" s="38">
        <f t="shared" si="50"/>
        <v>0</v>
      </c>
    </row>
    <row r="2225" spans="1:7" ht="63.75">
      <c r="A2225" s="38"/>
      <c r="B2225" s="71" t="s">
        <v>2238</v>
      </c>
      <c r="C2225" s="138" t="s">
        <v>1958</v>
      </c>
      <c r="D2225" s="51" t="s">
        <v>75</v>
      </c>
      <c r="E2225" s="112">
        <v>30.84</v>
      </c>
      <c r="F2225" s="4"/>
      <c r="G2225" s="38">
        <f t="shared" si="50"/>
        <v>0</v>
      </c>
    </row>
    <row r="2226" spans="1:7" ht="76.5">
      <c r="A2226" s="38"/>
      <c r="B2226" s="142" t="s">
        <v>2239</v>
      </c>
      <c r="C2226" s="138" t="s">
        <v>1960</v>
      </c>
      <c r="D2226" s="138" t="s">
        <v>75</v>
      </c>
      <c r="E2226" s="149">
        <v>61.68</v>
      </c>
      <c r="F2226" s="4"/>
      <c r="G2226" s="38">
        <f t="shared" si="50"/>
        <v>0</v>
      </c>
    </row>
    <row r="2227" spans="1:7" ht="89.25">
      <c r="A2227" s="38"/>
      <c r="B2227" s="71" t="s">
        <v>2240</v>
      </c>
      <c r="C2227" s="138" t="s">
        <v>1962</v>
      </c>
      <c r="D2227" s="51" t="s">
        <v>75</v>
      </c>
      <c r="E2227" s="61">
        <v>672.12</v>
      </c>
      <c r="F2227" s="38"/>
      <c r="G2227" s="38">
        <f t="shared" si="50"/>
        <v>0</v>
      </c>
    </row>
    <row r="2228" spans="1:7" ht="76.5">
      <c r="A2228" s="38"/>
      <c r="B2228" s="142" t="s">
        <v>2241</v>
      </c>
      <c r="C2228" s="138" t="s">
        <v>2037</v>
      </c>
      <c r="D2228" s="138" t="s">
        <v>75</v>
      </c>
      <c r="E2228" s="138">
        <v>101.55</v>
      </c>
      <c r="F2228" s="38"/>
      <c r="G2228" s="38">
        <f t="shared" si="50"/>
        <v>0</v>
      </c>
    </row>
    <row r="2229" spans="1:7" ht="51">
      <c r="A2229" s="38"/>
      <c r="B2229" s="142" t="s">
        <v>2242</v>
      </c>
      <c r="C2229" s="138" t="s">
        <v>1966</v>
      </c>
      <c r="D2229" s="138" t="s">
        <v>91</v>
      </c>
      <c r="E2229" s="138">
        <v>2</v>
      </c>
      <c r="F2229" s="4"/>
      <c r="G2229" s="38">
        <f t="shared" si="50"/>
        <v>0</v>
      </c>
    </row>
    <row r="2230" spans="1:7" ht="76.5">
      <c r="A2230" s="38"/>
      <c r="B2230" s="142" t="s">
        <v>2243</v>
      </c>
      <c r="C2230" s="138" t="s">
        <v>1968</v>
      </c>
      <c r="D2230" s="138" t="s">
        <v>75</v>
      </c>
      <c r="E2230" s="148">
        <v>4.37</v>
      </c>
      <c r="F2230" s="4"/>
      <c r="G2230" s="38">
        <f t="shared" si="50"/>
        <v>0</v>
      </c>
    </row>
    <row r="2231" spans="1:7">
      <c r="A2231" s="38"/>
      <c r="B2231" s="142"/>
      <c r="C2231" s="138"/>
      <c r="D2231" s="138"/>
      <c r="E2231" s="138"/>
      <c r="F2231" s="4"/>
      <c r="G2231" s="38">
        <f t="shared" si="50"/>
        <v>0</v>
      </c>
    </row>
    <row r="2232" spans="1:7" ht="89.25">
      <c r="A2232" s="38"/>
      <c r="B2232" s="71" t="s">
        <v>2244</v>
      </c>
      <c r="C2232" s="138" t="s">
        <v>2040</v>
      </c>
      <c r="D2232" s="51" t="s">
        <v>75</v>
      </c>
      <c r="E2232" s="61">
        <v>25.38</v>
      </c>
      <c r="F2232" s="38"/>
      <c r="G2232" s="38">
        <f t="shared" si="50"/>
        <v>0</v>
      </c>
    </row>
    <row r="2233" spans="1:7" ht="89.25">
      <c r="A2233" s="38"/>
      <c r="B2233" s="71" t="s">
        <v>2245</v>
      </c>
      <c r="C2233" s="138" t="s">
        <v>2042</v>
      </c>
      <c r="D2233" s="51" t="s">
        <v>75</v>
      </c>
      <c r="E2233" s="61">
        <v>67.34</v>
      </c>
      <c r="F2233" s="38"/>
      <c r="G2233" s="38">
        <f t="shared" si="50"/>
        <v>0</v>
      </c>
    </row>
    <row r="2234" spans="1:7" ht="102">
      <c r="A2234" s="38"/>
      <c r="B2234" s="71" t="s">
        <v>2246</v>
      </c>
      <c r="C2234" s="138" t="s">
        <v>1974</v>
      </c>
      <c r="D2234" s="51" t="s">
        <v>75</v>
      </c>
      <c r="E2234" s="61">
        <v>414.95</v>
      </c>
      <c r="F2234" s="38"/>
      <c r="G2234" s="38">
        <f t="shared" si="50"/>
        <v>0</v>
      </c>
    </row>
    <row r="2235" spans="1:7" ht="89.25">
      <c r="A2235" s="38"/>
      <c r="B2235" s="71" t="s">
        <v>2247</v>
      </c>
      <c r="C2235" s="138" t="s">
        <v>1976</v>
      </c>
      <c r="D2235" s="51" t="s">
        <v>84</v>
      </c>
      <c r="E2235" s="61">
        <v>205</v>
      </c>
      <c r="F2235" s="38"/>
      <c r="G2235" s="38">
        <f t="shared" si="50"/>
        <v>0</v>
      </c>
    </row>
    <row r="2236" spans="1:7">
      <c r="A2236" s="38"/>
      <c r="B2236" s="71"/>
      <c r="C2236" s="50"/>
      <c r="D2236" s="51"/>
      <c r="E2236" s="61"/>
      <c r="F2236" s="38"/>
      <c r="G2236" s="38">
        <f t="shared" si="50"/>
        <v>0</v>
      </c>
    </row>
    <row r="2237" spans="1:7">
      <c r="A2237" s="38"/>
      <c r="B2237" s="71" t="s">
        <v>2248</v>
      </c>
      <c r="C2237" s="55" t="s">
        <v>123</v>
      </c>
      <c r="D2237" s="56"/>
      <c r="E2237" s="62">
        <v>0</v>
      </c>
      <c r="F2237" s="38"/>
      <c r="G2237" s="38">
        <f t="shared" si="50"/>
        <v>0</v>
      </c>
    </row>
    <row r="2238" spans="1:7" ht="127.5">
      <c r="A2238" s="38"/>
      <c r="B2238" s="71" t="s">
        <v>2249</v>
      </c>
      <c r="C2238" s="138" t="s">
        <v>1981</v>
      </c>
      <c r="D2238" s="51" t="s">
        <v>75</v>
      </c>
      <c r="E2238" s="61">
        <v>278.27</v>
      </c>
      <c r="F2238" s="38"/>
      <c r="G2238" s="38">
        <f t="shared" si="50"/>
        <v>0</v>
      </c>
    </row>
    <row r="2239" spans="1:7" ht="76.5">
      <c r="A2239" s="38"/>
      <c r="B2239" s="71" t="s">
        <v>2250</v>
      </c>
      <c r="C2239" s="138" t="s">
        <v>1983</v>
      </c>
      <c r="D2239" s="51" t="s">
        <v>75</v>
      </c>
      <c r="E2239" s="61">
        <v>265.64999999999998</v>
      </c>
      <c r="F2239" s="38"/>
      <c r="G2239" s="38">
        <f t="shared" si="50"/>
        <v>0</v>
      </c>
    </row>
    <row r="2240" spans="1:7" ht="102">
      <c r="A2240" s="38"/>
      <c r="B2240" s="71" t="s">
        <v>2251</v>
      </c>
      <c r="C2240" s="138" t="s">
        <v>2049</v>
      </c>
      <c r="D2240" s="51" t="s">
        <v>84</v>
      </c>
      <c r="E2240" s="61">
        <v>31.13</v>
      </c>
      <c r="F2240" s="38"/>
      <c r="G2240" s="38">
        <f t="shared" si="50"/>
        <v>0</v>
      </c>
    </row>
    <row r="2241" spans="1:7" ht="89.25">
      <c r="A2241" s="38"/>
      <c r="B2241" s="71" t="s">
        <v>2252</v>
      </c>
      <c r="C2241" s="138" t="s">
        <v>2042</v>
      </c>
      <c r="D2241" s="51" t="s">
        <v>75</v>
      </c>
      <c r="E2241" s="61">
        <v>12.63</v>
      </c>
      <c r="F2241" s="38"/>
      <c r="G2241" s="38">
        <f t="shared" si="50"/>
        <v>0</v>
      </c>
    </row>
    <row r="2242" spans="1:7" ht="51">
      <c r="A2242" s="38"/>
      <c r="B2242" s="71" t="s">
        <v>2253</v>
      </c>
      <c r="C2242" s="138" t="s">
        <v>1816</v>
      </c>
      <c r="D2242" s="51" t="s">
        <v>140</v>
      </c>
      <c r="E2242" s="61">
        <v>11</v>
      </c>
      <c r="F2242" s="38"/>
      <c r="G2242" s="38">
        <f t="shared" si="50"/>
        <v>0</v>
      </c>
    </row>
    <row r="2243" spans="1:7">
      <c r="A2243" s="38"/>
      <c r="B2243" s="71"/>
      <c r="C2243" s="50"/>
      <c r="D2243" s="51"/>
      <c r="E2243" s="61"/>
      <c r="F2243" s="38"/>
      <c r="G2243" s="38">
        <f t="shared" si="50"/>
        <v>0</v>
      </c>
    </row>
    <row r="2244" spans="1:7">
      <c r="A2244" s="38"/>
      <c r="B2244" s="71" t="s">
        <v>2254</v>
      </c>
      <c r="C2244" s="55" t="s">
        <v>146</v>
      </c>
      <c r="D2244" s="56"/>
      <c r="E2244" s="62">
        <v>0</v>
      </c>
      <c r="F2244" s="38"/>
      <c r="G2244" s="38">
        <f t="shared" si="50"/>
        <v>0</v>
      </c>
    </row>
    <row r="2245" spans="1:7" ht="191.25">
      <c r="A2245" s="38"/>
      <c r="B2245" s="71" t="s">
        <v>2255</v>
      </c>
      <c r="C2245" s="139" t="s">
        <v>2054</v>
      </c>
      <c r="D2245" s="51" t="s">
        <v>140</v>
      </c>
      <c r="E2245" s="61">
        <v>3</v>
      </c>
      <c r="F2245" s="38"/>
      <c r="G2245" s="38">
        <f t="shared" si="50"/>
        <v>0</v>
      </c>
    </row>
    <row r="2246" spans="1:7" ht="242.25">
      <c r="A2246" s="38"/>
      <c r="B2246" s="71" t="s">
        <v>2256</v>
      </c>
      <c r="C2246" s="139" t="s">
        <v>2056</v>
      </c>
      <c r="D2246" s="51" t="s">
        <v>140</v>
      </c>
      <c r="E2246" s="51">
        <v>11</v>
      </c>
      <c r="F2246" s="38"/>
      <c r="G2246" s="38">
        <f t="shared" si="50"/>
        <v>0</v>
      </c>
    </row>
    <row r="2247" spans="1:7">
      <c r="A2247" s="38"/>
      <c r="B2247" s="71"/>
      <c r="C2247" s="50"/>
      <c r="D2247" s="51"/>
      <c r="E2247" s="61"/>
      <c r="F2247" s="38"/>
      <c r="G2247" s="38">
        <f t="shared" si="50"/>
        <v>0</v>
      </c>
    </row>
    <row r="2248" spans="1:7">
      <c r="A2248" s="38"/>
      <c r="B2248" s="71" t="s">
        <v>2257</v>
      </c>
      <c r="C2248" s="55" t="s">
        <v>1992</v>
      </c>
      <c r="D2248" s="51"/>
      <c r="E2248" s="61"/>
      <c r="F2248" s="38"/>
      <c r="G2248" s="38">
        <f t="shared" si="50"/>
        <v>0</v>
      </c>
    </row>
    <row r="2249" spans="1:7" ht="191.25">
      <c r="A2249" s="38"/>
      <c r="B2249" s="71" t="s">
        <v>2258</v>
      </c>
      <c r="C2249" s="138" t="s">
        <v>2059</v>
      </c>
      <c r="D2249" s="51" t="s">
        <v>140</v>
      </c>
      <c r="E2249" s="51">
        <v>11</v>
      </c>
      <c r="F2249" s="38"/>
      <c r="G2249" s="38">
        <f t="shared" si="50"/>
        <v>0</v>
      </c>
    </row>
    <row r="2250" spans="1:7">
      <c r="A2250" s="38"/>
      <c r="B2250" s="71"/>
      <c r="C2250" s="50"/>
      <c r="D2250" s="51"/>
      <c r="E2250" s="61"/>
      <c r="F2250" s="38"/>
      <c r="G2250" s="38">
        <f t="shared" si="50"/>
        <v>0</v>
      </c>
    </row>
    <row r="2251" spans="1:7">
      <c r="A2251" s="38"/>
      <c r="B2251" s="71" t="s">
        <v>2259</v>
      </c>
      <c r="C2251" s="55" t="s">
        <v>151</v>
      </c>
      <c r="D2251" s="56"/>
      <c r="E2251" s="62">
        <v>0</v>
      </c>
      <c r="F2251" s="38"/>
      <c r="G2251" s="38">
        <f t="shared" si="50"/>
        <v>0</v>
      </c>
    </row>
    <row r="2252" spans="1:7" ht="89.25">
      <c r="A2252" s="38"/>
      <c r="B2252" s="71" t="s">
        <v>2260</v>
      </c>
      <c r="C2252" s="138" t="s">
        <v>1997</v>
      </c>
      <c r="D2252" s="51" t="s">
        <v>140</v>
      </c>
      <c r="E2252" s="61">
        <v>40</v>
      </c>
      <c r="F2252" s="38"/>
      <c r="G2252" s="38">
        <f t="shared" si="50"/>
        <v>0</v>
      </c>
    </row>
    <row r="2253" spans="1:7" ht="38.25">
      <c r="A2253" s="38"/>
      <c r="B2253" s="71" t="s">
        <v>2261</v>
      </c>
      <c r="C2253" s="138" t="s">
        <v>1999</v>
      </c>
      <c r="D2253" s="138" t="s">
        <v>140</v>
      </c>
      <c r="E2253" s="138" t="s">
        <v>2113</v>
      </c>
      <c r="F2253" s="38"/>
      <c r="G2253" s="38">
        <f t="shared" si="50"/>
        <v>0</v>
      </c>
    </row>
    <row r="2254" spans="1:7" ht="38.25">
      <c r="A2254" s="38"/>
      <c r="B2254" s="71" t="s">
        <v>2262</v>
      </c>
      <c r="C2254" s="138" t="s">
        <v>2001</v>
      </c>
      <c r="D2254" s="138" t="s">
        <v>1898</v>
      </c>
      <c r="E2254" s="138" t="s">
        <v>1312</v>
      </c>
      <c r="F2254" s="38"/>
      <c r="G2254" s="38">
        <f t="shared" si="50"/>
        <v>0</v>
      </c>
    </row>
    <row r="2255" spans="1:7">
      <c r="A2255" s="38"/>
      <c r="B2255" s="71"/>
      <c r="C2255" s="50"/>
      <c r="D2255" s="51"/>
      <c r="E2255" s="61"/>
      <c r="F2255" s="38"/>
      <c r="G2255" s="38">
        <f t="shared" si="50"/>
        <v>0</v>
      </c>
    </row>
    <row r="2256" spans="1:7">
      <c r="A2256" s="38"/>
      <c r="B2256" s="71" t="s">
        <v>2263</v>
      </c>
      <c r="C2256" s="55" t="s">
        <v>1840</v>
      </c>
      <c r="D2256" s="56"/>
      <c r="E2256" s="62">
        <v>0</v>
      </c>
      <c r="F2256" s="38"/>
      <c r="G2256" s="38">
        <f t="shared" si="50"/>
        <v>0</v>
      </c>
    </row>
    <row r="2257" spans="1:7" ht="114.75">
      <c r="A2257" s="38"/>
      <c r="B2257" s="71" t="s">
        <v>2264</v>
      </c>
      <c r="C2257" s="138" t="s">
        <v>2004</v>
      </c>
      <c r="D2257" s="51" t="s">
        <v>140</v>
      </c>
      <c r="E2257" s="61">
        <v>1</v>
      </c>
      <c r="F2257" s="38"/>
      <c r="G2257" s="38">
        <f t="shared" si="50"/>
        <v>0</v>
      </c>
    </row>
    <row r="2258" spans="1:7" ht="102">
      <c r="A2258" s="38"/>
      <c r="B2258" s="71" t="s">
        <v>2265</v>
      </c>
      <c r="C2258" s="138" t="s">
        <v>2006</v>
      </c>
      <c r="D2258" s="51" t="s">
        <v>140</v>
      </c>
      <c r="E2258" s="61">
        <v>2</v>
      </c>
      <c r="F2258" s="38"/>
      <c r="G2258" s="38">
        <f t="shared" si="50"/>
        <v>0</v>
      </c>
    </row>
    <row r="2259" spans="1:7" ht="25.5">
      <c r="A2259" s="38"/>
      <c r="B2259" s="71" t="s">
        <v>2700</v>
      </c>
      <c r="C2259" s="132" t="s">
        <v>2698</v>
      </c>
      <c r="D2259" s="51" t="s">
        <v>140</v>
      </c>
      <c r="E2259" s="61">
        <v>3</v>
      </c>
      <c r="F2259" s="38"/>
      <c r="G2259" s="38">
        <f t="shared" ref="G2259" si="51">E2259*F2259</f>
        <v>0</v>
      </c>
    </row>
    <row r="2260" spans="1:7">
      <c r="A2260" s="38"/>
      <c r="B2260" s="71"/>
      <c r="C2260" s="50"/>
      <c r="D2260" s="51"/>
      <c r="E2260" s="61"/>
      <c r="F2260" s="38"/>
      <c r="G2260" s="38">
        <f t="shared" si="50"/>
        <v>0</v>
      </c>
    </row>
    <row r="2261" spans="1:7">
      <c r="A2261" s="38"/>
      <c r="B2261" s="145" t="s">
        <v>2266</v>
      </c>
      <c r="C2261" s="55" t="s">
        <v>202</v>
      </c>
      <c r="D2261" s="56"/>
      <c r="E2261" s="62">
        <v>0</v>
      </c>
      <c r="F2261" s="38"/>
      <c r="G2261" s="38">
        <f t="shared" si="50"/>
        <v>0</v>
      </c>
    </row>
    <row r="2262" spans="1:7" ht="63.75">
      <c r="A2262" s="38"/>
      <c r="B2262" s="145" t="s">
        <v>2267</v>
      </c>
      <c r="C2262" s="138" t="s">
        <v>2069</v>
      </c>
      <c r="D2262" s="51" t="s">
        <v>84</v>
      </c>
      <c r="E2262" s="61">
        <v>31.13</v>
      </c>
      <c r="F2262" s="38"/>
      <c r="G2262" s="38">
        <f>E2262*F2262</f>
        <v>0</v>
      </c>
    </row>
    <row r="2263" spans="1:7">
      <c r="E2263" s="157"/>
      <c r="F2263" s="1"/>
      <c r="G2263" s="1"/>
    </row>
    <row r="2264" spans="1:7">
      <c r="A2264" s="38"/>
      <c r="B2264" s="72" t="s">
        <v>2268</v>
      </c>
      <c r="C2264" s="48"/>
      <c r="D2264" s="15"/>
      <c r="E2264" s="122"/>
      <c r="F2264" s="54"/>
      <c r="G2264" s="58">
        <f>SUM(G2201:G2263)</f>
        <v>0</v>
      </c>
    </row>
    <row r="2265" spans="1:7">
      <c r="E2265" s="157"/>
      <c r="F2265" s="1"/>
      <c r="G2265" s="1"/>
    </row>
    <row r="2266" spans="1:7">
      <c r="A2266" s="38"/>
      <c r="B2266" s="141">
        <v>3.28</v>
      </c>
      <c r="C2266" s="72" t="s">
        <v>2269</v>
      </c>
      <c r="D2266" s="49"/>
      <c r="E2266" s="60">
        <v>0</v>
      </c>
      <c r="F2266" s="129"/>
      <c r="G2266" s="129"/>
    </row>
    <row r="2267" spans="1:7">
      <c r="A2267" s="38"/>
      <c r="B2267" s="128"/>
      <c r="C2267" s="116"/>
      <c r="D2267" s="56"/>
      <c r="E2267" s="62"/>
      <c r="F2267" s="38"/>
      <c r="G2267" s="38"/>
    </row>
    <row r="2268" spans="1:7" ht="38.25">
      <c r="A2268" s="38"/>
      <c r="B2268" s="128"/>
      <c r="C2268" s="138" t="s">
        <v>60</v>
      </c>
      <c r="D2268" s="56"/>
      <c r="E2268" s="62"/>
      <c r="F2268" s="38"/>
      <c r="G2268" s="38">
        <f t="shared" ref="G2268:G2326" si="52">E2268*F2268</f>
        <v>0</v>
      </c>
    </row>
    <row r="2269" spans="1:7">
      <c r="A2269" s="38"/>
      <c r="B2269" s="128"/>
      <c r="C2269" s="116"/>
      <c r="D2269" s="56"/>
      <c r="E2269" s="62"/>
      <c r="F2269" s="38"/>
      <c r="G2269" s="38">
        <f t="shared" si="52"/>
        <v>0</v>
      </c>
    </row>
    <row r="2270" spans="1:7">
      <c r="A2270" s="38"/>
      <c r="B2270" s="71" t="s">
        <v>2270</v>
      </c>
      <c r="C2270" s="55" t="s">
        <v>62</v>
      </c>
      <c r="D2270" s="56"/>
      <c r="E2270" s="62">
        <v>0</v>
      </c>
      <c r="F2270" s="38"/>
      <c r="G2270" s="38">
        <f t="shared" si="52"/>
        <v>0</v>
      </c>
    </row>
    <row r="2271" spans="1:7" ht="191.25">
      <c r="A2271" s="38"/>
      <c r="B2271" s="71" t="s">
        <v>2271</v>
      </c>
      <c r="C2271" s="138" t="s">
        <v>64</v>
      </c>
      <c r="D2271" s="132" t="s">
        <v>38</v>
      </c>
      <c r="E2271" s="61">
        <v>1</v>
      </c>
      <c r="F2271" s="38"/>
      <c r="G2271" s="38">
        <f t="shared" si="52"/>
        <v>0</v>
      </c>
    </row>
    <row r="2272" spans="1:7" ht="51">
      <c r="A2272" s="38"/>
      <c r="B2272" s="71" t="s">
        <v>2272</v>
      </c>
      <c r="C2272" s="138" t="s">
        <v>1929</v>
      </c>
      <c r="D2272" s="132" t="s">
        <v>84</v>
      </c>
      <c r="E2272" s="61">
        <v>232.62</v>
      </c>
      <c r="F2272" s="38"/>
      <c r="G2272" s="38">
        <f t="shared" si="52"/>
        <v>0</v>
      </c>
    </row>
    <row r="2273" spans="1:7" ht="38.25">
      <c r="A2273" s="38"/>
      <c r="B2273" s="71" t="s">
        <v>2273</v>
      </c>
      <c r="C2273" s="138" t="s">
        <v>1931</v>
      </c>
      <c r="D2273" s="132" t="s">
        <v>84</v>
      </c>
      <c r="E2273" s="61">
        <v>232.62</v>
      </c>
      <c r="F2273" s="38"/>
      <c r="G2273" s="38">
        <f t="shared" si="52"/>
        <v>0</v>
      </c>
    </row>
    <row r="2274" spans="1:7" ht="63.75">
      <c r="A2274" s="38"/>
      <c r="B2274" s="71" t="s">
        <v>2274</v>
      </c>
      <c r="C2274" s="138" t="s">
        <v>1933</v>
      </c>
      <c r="D2274" s="132" t="s">
        <v>84</v>
      </c>
      <c r="E2274" s="61">
        <v>180</v>
      </c>
      <c r="F2274" s="38"/>
      <c r="G2274" s="38">
        <f t="shared" si="52"/>
        <v>0</v>
      </c>
    </row>
    <row r="2275" spans="1:7" ht="51">
      <c r="A2275" s="38"/>
      <c r="B2275" s="71" t="s">
        <v>2275</v>
      </c>
      <c r="C2275" s="138" t="s">
        <v>1935</v>
      </c>
      <c r="D2275" s="51" t="s">
        <v>75</v>
      </c>
      <c r="E2275" s="61">
        <v>132.75</v>
      </c>
      <c r="F2275" s="38"/>
      <c r="G2275" s="38">
        <f t="shared" si="52"/>
        <v>0</v>
      </c>
    </row>
    <row r="2276" spans="1:7" ht="38.25">
      <c r="A2276" s="38"/>
      <c r="B2276" s="71" t="s">
        <v>2276</v>
      </c>
      <c r="C2276" s="138" t="s">
        <v>1937</v>
      </c>
      <c r="D2276" s="51" t="s">
        <v>75</v>
      </c>
      <c r="E2276" s="61">
        <v>155.33000000000001</v>
      </c>
      <c r="F2276" s="38"/>
      <c r="G2276" s="38">
        <f t="shared" si="52"/>
        <v>0</v>
      </c>
    </row>
    <row r="2277" spans="1:7">
      <c r="A2277" s="38"/>
      <c r="B2277" s="71"/>
      <c r="C2277" s="50"/>
      <c r="D2277" s="51"/>
      <c r="E2277" s="61"/>
      <c r="F2277" s="38"/>
      <c r="G2277" s="38">
        <f t="shared" si="52"/>
        <v>0</v>
      </c>
    </row>
    <row r="2278" spans="1:7">
      <c r="A2278" s="38"/>
      <c r="B2278" s="145" t="s">
        <v>2277</v>
      </c>
      <c r="C2278" s="55" t="s">
        <v>66</v>
      </c>
      <c r="D2278" s="56"/>
      <c r="E2278" s="62">
        <v>0</v>
      </c>
      <c r="F2278" s="13"/>
      <c r="G2278" s="38">
        <f t="shared" si="52"/>
        <v>0</v>
      </c>
    </row>
    <row r="2279" spans="1:7" ht="38.25">
      <c r="A2279" s="38"/>
      <c r="B2279" s="145" t="s">
        <v>2278</v>
      </c>
      <c r="C2279" s="138" t="s">
        <v>1940</v>
      </c>
      <c r="D2279" s="51" t="s">
        <v>38</v>
      </c>
      <c r="E2279" s="112">
        <v>1</v>
      </c>
      <c r="F2279" s="4"/>
      <c r="G2279" s="38">
        <f t="shared" si="52"/>
        <v>0</v>
      </c>
    </row>
    <row r="2280" spans="1:7" ht="63.75">
      <c r="A2280" s="38"/>
      <c r="B2280" s="145" t="s">
        <v>2279</v>
      </c>
      <c r="C2280" s="138" t="s">
        <v>1942</v>
      </c>
      <c r="D2280" s="51" t="s">
        <v>38</v>
      </c>
      <c r="E2280" s="112">
        <v>1</v>
      </c>
      <c r="F2280" s="4"/>
      <c r="G2280" s="38">
        <f t="shared" si="52"/>
        <v>0</v>
      </c>
    </row>
    <row r="2281" spans="1:7">
      <c r="A2281" s="38"/>
      <c r="B2281" s="71"/>
      <c r="C2281" s="50"/>
      <c r="D2281" s="51"/>
      <c r="E2281" s="61"/>
      <c r="F2281" s="38"/>
      <c r="G2281" s="38">
        <f t="shared" si="52"/>
        <v>0</v>
      </c>
    </row>
    <row r="2282" spans="1:7">
      <c r="A2282" s="38"/>
      <c r="B2282" s="145" t="s">
        <v>2280</v>
      </c>
      <c r="C2282" s="55" t="s">
        <v>72</v>
      </c>
      <c r="D2282" s="56"/>
      <c r="E2282" s="62">
        <v>0</v>
      </c>
      <c r="F2282" s="38"/>
      <c r="G2282" s="38">
        <f t="shared" si="52"/>
        <v>0</v>
      </c>
    </row>
    <row r="2283" spans="1:7" ht="76.5">
      <c r="A2283" s="38"/>
      <c r="B2283" s="145" t="s">
        <v>2281</v>
      </c>
      <c r="C2283" s="138" t="s">
        <v>1945</v>
      </c>
      <c r="D2283" s="51" t="s">
        <v>75</v>
      </c>
      <c r="E2283" s="112">
        <v>209.17</v>
      </c>
      <c r="F2283" s="38"/>
      <c r="G2283" s="38">
        <f t="shared" si="52"/>
        <v>0</v>
      </c>
    </row>
    <row r="2284" spans="1:7" ht="63.75">
      <c r="A2284" s="38"/>
      <c r="B2284" s="145" t="s">
        <v>2282</v>
      </c>
      <c r="C2284" s="138" t="s">
        <v>2025</v>
      </c>
      <c r="D2284" s="51" t="s">
        <v>75</v>
      </c>
      <c r="E2284" s="112">
        <v>209.17</v>
      </c>
      <c r="F2284" s="38"/>
      <c r="G2284" s="38">
        <f t="shared" si="52"/>
        <v>0</v>
      </c>
    </row>
    <row r="2285" spans="1:7" ht="63.75">
      <c r="A2285" s="38"/>
      <c r="B2285" s="145" t="s">
        <v>2283</v>
      </c>
      <c r="C2285" s="138" t="s">
        <v>2027</v>
      </c>
      <c r="D2285" s="51" t="s">
        <v>75</v>
      </c>
      <c r="E2285" s="112">
        <v>209.17</v>
      </c>
      <c r="F2285" s="38"/>
      <c r="G2285" s="38">
        <f t="shared" si="52"/>
        <v>0</v>
      </c>
    </row>
    <row r="2286" spans="1:7" ht="63.75">
      <c r="A2286" s="38"/>
      <c r="B2286" s="145" t="s">
        <v>2284</v>
      </c>
      <c r="C2286" s="138" t="s">
        <v>1951</v>
      </c>
      <c r="D2286" s="51" t="s">
        <v>84</v>
      </c>
      <c r="E2286" s="61">
        <v>156.44</v>
      </c>
      <c r="F2286" s="38"/>
      <c r="G2286" s="38">
        <f t="shared" si="52"/>
        <v>0</v>
      </c>
    </row>
    <row r="2287" spans="1:7" ht="76.5">
      <c r="A2287" s="38"/>
      <c r="B2287" s="145" t="s">
        <v>2285</v>
      </c>
      <c r="C2287" s="138" t="s">
        <v>2030</v>
      </c>
      <c r="D2287" s="132" t="s">
        <v>75</v>
      </c>
      <c r="E2287" s="61">
        <v>81.02</v>
      </c>
      <c r="F2287" s="38"/>
      <c r="G2287" s="38">
        <f t="shared" si="52"/>
        <v>0</v>
      </c>
    </row>
    <row r="2288" spans="1:7" ht="63.75">
      <c r="A2288" s="38"/>
      <c r="B2288" s="145" t="s">
        <v>2286</v>
      </c>
      <c r="C2288" s="138" t="s">
        <v>1955</v>
      </c>
      <c r="D2288" s="51" t="s">
        <v>84</v>
      </c>
      <c r="E2288" s="61">
        <v>19.2</v>
      </c>
      <c r="F2288" s="38"/>
      <c r="G2288" s="38">
        <f t="shared" si="52"/>
        <v>0</v>
      </c>
    </row>
    <row r="2289" spans="1:7">
      <c r="A2289" s="38"/>
      <c r="B2289" s="71"/>
      <c r="C2289" s="50"/>
      <c r="D2289" s="51"/>
      <c r="E2289" s="61"/>
      <c r="F2289" s="38"/>
      <c r="G2289" s="38">
        <f t="shared" si="52"/>
        <v>0</v>
      </c>
    </row>
    <row r="2290" spans="1:7">
      <c r="A2290" s="38"/>
      <c r="B2290" s="71" t="s">
        <v>2287</v>
      </c>
      <c r="C2290" s="55" t="s">
        <v>93</v>
      </c>
      <c r="D2290" s="56"/>
      <c r="E2290" s="62">
        <v>0</v>
      </c>
      <c r="F2290" s="38"/>
      <c r="G2290" s="38">
        <f t="shared" si="52"/>
        <v>0</v>
      </c>
    </row>
    <row r="2291" spans="1:7" ht="63.75">
      <c r="A2291" s="38"/>
      <c r="B2291" s="71" t="s">
        <v>2288</v>
      </c>
      <c r="C2291" s="138" t="s">
        <v>1958</v>
      </c>
      <c r="D2291" s="51" t="s">
        <v>75</v>
      </c>
      <c r="E2291" s="112">
        <v>52.76</v>
      </c>
      <c r="F2291" s="4"/>
      <c r="G2291" s="38">
        <f t="shared" si="52"/>
        <v>0</v>
      </c>
    </row>
    <row r="2292" spans="1:7" ht="76.5">
      <c r="A2292" s="38"/>
      <c r="B2292" s="142" t="s">
        <v>2289</v>
      </c>
      <c r="C2292" s="138" t="s">
        <v>1960</v>
      </c>
      <c r="D2292" s="138" t="s">
        <v>75</v>
      </c>
      <c r="E2292" s="139">
        <v>105.52</v>
      </c>
      <c r="F2292" s="4"/>
      <c r="G2292" s="38">
        <f t="shared" si="52"/>
        <v>0</v>
      </c>
    </row>
    <row r="2293" spans="1:7" ht="89.25">
      <c r="A2293" s="38"/>
      <c r="B2293" s="71" t="s">
        <v>2290</v>
      </c>
      <c r="C2293" s="138" t="s">
        <v>1962</v>
      </c>
      <c r="D2293" s="51" t="s">
        <v>75</v>
      </c>
      <c r="E2293" s="61">
        <v>681.41</v>
      </c>
      <c r="F2293" s="38"/>
      <c r="G2293" s="38">
        <f t="shared" si="52"/>
        <v>0</v>
      </c>
    </row>
    <row r="2294" spans="1:7" ht="76.5">
      <c r="A2294" s="38"/>
      <c r="B2294" s="142" t="s">
        <v>2291</v>
      </c>
      <c r="C2294" s="138" t="s">
        <v>2037</v>
      </c>
      <c r="D2294" s="138" t="s">
        <v>75</v>
      </c>
      <c r="E2294" s="138">
        <v>101.55</v>
      </c>
      <c r="F2294" s="38"/>
      <c r="G2294" s="38">
        <f t="shared" si="52"/>
        <v>0</v>
      </c>
    </row>
    <row r="2295" spans="1:7" ht="51">
      <c r="A2295" s="38"/>
      <c r="B2295" s="142" t="s">
        <v>2292</v>
      </c>
      <c r="C2295" s="138" t="s">
        <v>1966</v>
      </c>
      <c r="D2295" s="138" t="s">
        <v>91</v>
      </c>
      <c r="E2295" s="138">
        <v>2</v>
      </c>
      <c r="F2295" s="4"/>
      <c r="G2295" s="38">
        <f t="shared" si="52"/>
        <v>0</v>
      </c>
    </row>
    <row r="2296" spans="1:7" ht="76.5">
      <c r="A2296" s="38"/>
      <c r="B2296" s="142" t="s">
        <v>2293</v>
      </c>
      <c r="C2296" s="138" t="s">
        <v>1968</v>
      </c>
      <c r="D2296" s="138" t="s">
        <v>75</v>
      </c>
      <c r="E2296" s="148">
        <v>26.74</v>
      </c>
      <c r="F2296" s="4"/>
      <c r="G2296" s="38">
        <f t="shared" si="52"/>
        <v>0</v>
      </c>
    </row>
    <row r="2297" spans="1:7" ht="89.25">
      <c r="A2297" s="38"/>
      <c r="B2297" s="71" t="s">
        <v>2294</v>
      </c>
      <c r="C2297" s="138" t="s">
        <v>2040</v>
      </c>
      <c r="D2297" s="51" t="s">
        <v>75</v>
      </c>
      <c r="E2297" s="61">
        <v>36.659999999999997</v>
      </c>
      <c r="F2297" s="38"/>
      <c r="G2297" s="38">
        <f t="shared" si="52"/>
        <v>0</v>
      </c>
    </row>
    <row r="2298" spans="1:7" ht="89.25">
      <c r="A2298" s="38"/>
      <c r="B2298" s="71" t="s">
        <v>2295</v>
      </c>
      <c r="C2298" s="138" t="s">
        <v>2042</v>
      </c>
      <c r="D2298" s="51" t="s">
        <v>75</v>
      </c>
      <c r="E2298" s="61">
        <v>37.299999999999997</v>
      </c>
      <c r="F2298" s="38"/>
      <c r="G2298" s="38">
        <f t="shared" si="52"/>
        <v>0</v>
      </c>
    </row>
    <row r="2299" spans="1:7" ht="102">
      <c r="A2299" s="38"/>
      <c r="B2299" s="71" t="s">
        <v>2296</v>
      </c>
      <c r="C2299" s="138" t="s">
        <v>1974</v>
      </c>
      <c r="D2299" s="51" t="s">
        <v>75</v>
      </c>
      <c r="E2299" s="61">
        <v>391.1</v>
      </c>
      <c r="F2299" s="38"/>
      <c r="G2299" s="38">
        <f t="shared" si="52"/>
        <v>0</v>
      </c>
    </row>
    <row r="2300" spans="1:7" ht="89.25">
      <c r="A2300" s="38"/>
      <c r="B2300" s="71" t="s">
        <v>2297</v>
      </c>
      <c r="C2300" s="138" t="s">
        <v>1976</v>
      </c>
      <c r="D2300" s="51" t="s">
        <v>84</v>
      </c>
      <c r="E2300" s="61">
        <v>172.5</v>
      </c>
      <c r="F2300" s="38"/>
      <c r="G2300" s="38">
        <f t="shared" si="52"/>
        <v>0</v>
      </c>
    </row>
    <row r="2301" spans="1:7">
      <c r="A2301" s="38"/>
      <c r="B2301" s="71"/>
      <c r="C2301" s="50"/>
      <c r="D2301" s="51"/>
      <c r="E2301" s="61"/>
      <c r="F2301" s="38"/>
      <c r="G2301" s="38">
        <f t="shared" si="52"/>
        <v>0</v>
      </c>
    </row>
    <row r="2302" spans="1:7">
      <c r="A2302" s="38"/>
      <c r="B2302" s="145" t="s">
        <v>2298</v>
      </c>
      <c r="C2302" s="55" t="s">
        <v>123</v>
      </c>
      <c r="D2302" s="56"/>
      <c r="E2302" s="62">
        <v>0</v>
      </c>
      <c r="F2302" s="38"/>
      <c r="G2302" s="38">
        <f t="shared" si="52"/>
        <v>0</v>
      </c>
    </row>
    <row r="2303" spans="1:7" ht="127.5">
      <c r="A2303" s="38"/>
      <c r="B2303" s="145" t="s">
        <v>2299</v>
      </c>
      <c r="C2303" s="138" t="s">
        <v>1981</v>
      </c>
      <c r="D2303" s="51" t="s">
        <v>75</v>
      </c>
      <c r="E2303" s="61">
        <v>288.08</v>
      </c>
      <c r="F2303" s="38"/>
      <c r="G2303" s="38">
        <f t="shared" si="52"/>
        <v>0</v>
      </c>
    </row>
    <row r="2304" spans="1:7" ht="76.5">
      <c r="A2304" s="38"/>
      <c r="B2304" s="145" t="s">
        <v>2300</v>
      </c>
      <c r="C2304" s="138" t="s">
        <v>1983</v>
      </c>
      <c r="D2304" s="51" t="s">
        <v>75</v>
      </c>
      <c r="E2304" s="61">
        <v>280.2</v>
      </c>
      <c r="F2304" s="38"/>
      <c r="G2304" s="38">
        <f t="shared" si="52"/>
        <v>0</v>
      </c>
    </row>
    <row r="2305" spans="1:7" ht="102">
      <c r="A2305" s="38"/>
      <c r="B2305" s="145" t="s">
        <v>2301</v>
      </c>
      <c r="C2305" s="138" t="s">
        <v>2049</v>
      </c>
      <c r="D2305" s="51" t="s">
        <v>84</v>
      </c>
      <c r="E2305" s="61">
        <v>15.32</v>
      </c>
      <c r="F2305" s="38"/>
      <c r="G2305" s="38">
        <f t="shared" si="52"/>
        <v>0</v>
      </c>
    </row>
    <row r="2306" spans="1:7" ht="89.25">
      <c r="A2306" s="38"/>
      <c r="B2306" s="145" t="s">
        <v>2302</v>
      </c>
      <c r="C2306" s="138" t="s">
        <v>2042</v>
      </c>
      <c r="D2306" s="51" t="s">
        <v>75</v>
      </c>
      <c r="E2306" s="61">
        <v>7.88</v>
      </c>
      <c r="F2306" s="38"/>
      <c r="G2306" s="38">
        <f t="shared" si="52"/>
        <v>0</v>
      </c>
    </row>
    <row r="2307" spans="1:7" ht="51">
      <c r="A2307" s="38"/>
      <c r="B2307" s="145" t="s">
        <v>2303</v>
      </c>
      <c r="C2307" s="138" t="s">
        <v>1816</v>
      </c>
      <c r="D2307" s="51" t="s">
        <v>140</v>
      </c>
      <c r="E2307" s="61">
        <v>11</v>
      </c>
      <c r="F2307" s="38"/>
      <c r="G2307" s="38">
        <f t="shared" si="52"/>
        <v>0</v>
      </c>
    </row>
    <row r="2308" spans="1:7">
      <c r="A2308" s="38"/>
      <c r="B2308" s="71"/>
      <c r="C2308" s="50"/>
      <c r="D2308" s="51"/>
      <c r="E2308" s="61"/>
      <c r="F2308" s="38"/>
      <c r="G2308" s="38">
        <f t="shared" si="52"/>
        <v>0</v>
      </c>
    </row>
    <row r="2309" spans="1:7">
      <c r="A2309" s="38"/>
      <c r="B2309" s="145" t="s">
        <v>2304</v>
      </c>
      <c r="C2309" s="55" t="s">
        <v>146</v>
      </c>
      <c r="D2309" s="56"/>
      <c r="E2309" s="62">
        <v>0</v>
      </c>
      <c r="F2309" s="38"/>
      <c r="G2309" s="38">
        <f t="shared" si="52"/>
        <v>0</v>
      </c>
    </row>
    <row r="2310" spans="1:7" ht="191.25">
      <c r="A2310" s="38"/>
      <c r="B2310" s="145" t="s">
        <v>2305</v>
      </c>
      <c r="C2310" s="139" t="s">
        <v>2054</v>
      </c>
      <c r="D2310" s="51" t="s">
        <v>140</v>
      </c>
      <c r="E2310" s="61">
        <v>2</v>
      </c>
      <c r="F2310" s="38"/>
      <c r="G2310" s="38">
        <f t="shared" si="52"/>
        <v>0</v>
      </c>
    </row>
    <row r="2311" spans="1:7" ht="242.25">
      <c r="A2311" s="38"/>
      <c r="B2311" s="145" t="s">
        <v>2306</v>
      </c>
      <c r="C2311" s="139" t="s">
        <v>2056</v>
      </c>
      <c r="D2311" s="138" t="s">
        <v>140</v>
      </c>
      <c r="E2311" s="140">
        <v>11</v>
      </c>
      <c r="F2311" s="38"/>
      <c r="G2311" s="38">
        <f t="shared" si="52"/>
        <v>0</v>
      </c>
    </row>
    <row r="2312" spans="1:7">
      <c r="A2312" s="38"/>
      <c r="B2312" s="71"/>
      <c r="C2312" s="50"/>
      <c r="D2312" s="51"/>
      <c r="E2312" s="61"/>
      <c r="F2312" s="38"/>
      <c r="G2312" s="38">
        <f t="shared" si="52"/>
        <v>0</v>
      </c>
    </row>
    <row r="2313" spans="1:7">
      <c r="A2313" s="38"/>
      <c r="B2313" s="145" t="s">
        <v>2307</v>
      </c>
      <c r="C2313" s="55" t="s">
        <v>1992</v>
      </c>
      <c r="D2313" s="51"/>
      <c r="E2313" s="61"/>
      <c r="F2313" s="38"/>
      <c r="G2313" s="38">
        <f t="shared" si="52"/>
        <v>0</v>
      </c>
    </row>
    <row r="2314" spans="1:7" ht="191.25">
      <c r="A2314" s="38"/>
      <c r="B2314" s="145" t="s">
        <v>2308</v>
      </c>
      <c r="C2314" s="132" t="s">
        <v>2059</v>
      </c>
      <c r="D2314" s="51" t="s">
        <v>140</v>
      </c>
      <c r="E2314" s="51">
        <v>11</v>
      </c>
      <c r="F2314" s="38"/>
      <c r="G2314" s="38">
        <f t="shared" si="52"/>
        <v>0</v>
      </c>
    </row>
    <row r="2315" spans="1:7">
      <c r="A2315" s="38"/>
      <c r="B2315" s="71"/>
      <c r="C2315" s="50"/>
      <c r="D2315" s="51"/>
      <c r="E2315" s="61"/>
      <c r="F2315" s="38"/>
      <c r="G2315" s="38">
        <f t="shared" si="52"/>
        <v>0</v>
      </c>
    </row>
    <row r="2316" spans="1:7">
      <c r="A2316" s="38"/>
      <c r="B2316" s="145" t="s">
        <v>2309</v>
      </c>
      <c r="C2316" s="55" t="s">
        <v>151</v>
      </c>
      <c r="D2316" s="56"/>
      <c r="E2316" s="62">
        <v>0</v>
      </c>
      <c r="F2316" s="38"/>
      <c r="G2316" s="38">
        <f t="shared" si="52"/>
        <v>0</v>
      </c>
    </row>
    <row r="2317" spans="1:7" ht="89.25">
      <c r="A2317" s="38"/>
      <c r="B2317" s="145" t="s">
        <v>2310</v>
      </c>
      <c r="C2317" s="132" t="s">
        <v>1997</v>
      </c>
      <c r="D2317" s="51" t="s">
        <v>140</v>
      </c>
      <c r="E2317" s="61">
        <v>37</v>
      </c>
      <c r="F2317" s="38"/>
      <c r="G2317" s="38">
        <f t="shared" si="52"/>
        <v>0</v>
      </c>
    </row>
    <row r="2318" spans="1:7" ht="38.25">
      <c r="A2318" s="38"/>
      <c r="B2318" s="145" t="s">
        <v>2311</v>
      </c>
      <c r="C2318" s="138" t="s">
        <v>1999</v>
      </c>
      <c r="D2318" s="138" t="s">
        <v>140</v>
      </c>
      <c r="E2318" s="138" t="s">
        <v>2113</v>
      </c>
      <c r="F2318" s="38"/>
      <c r="G2318" s="38">
        <f t="shared" si="52"/>
        <v>0</v>
      </c>
    </row>
    <row r="2319" spans="1:7" ht="38.25">
      <c r="A2319" s="38"/>
      <c r="B2319" s="145" t="s">
        <v>2312</v>
      </c>
      <c r="C2319" s="138" t="s">
        <v>2001</v>
      </c>
      <c r="D2319" s="138" t="s">
        <v>1898</v>
      </c>
      <c r="E2319" s="138" t="s">
        <v>1312</v>
      </c>
      <c r="F2319" s="38"/>
      <c r="G2319" s="38">
        <f t="shared" si="52"/>
        <v>0</v>
      </c>
    </row>
    <row r="2320" spans="1:7">
      <c r="A2320" s="38"/>
      <c r="B2320" s="71"/>
      <c r="C2320" s="50"/>
      <c r="D2320" s="51"/>
      <c r="E2320" s="61"/>
      <c r="F2320" s="38"/>
      <c r="G2320" s="38">
        <f t="shared" si="52"/>
        <v>0</v>
      </c>
    </row>
    <row r="2321" spans="1:7">
      <c r="A2321" s="38"/>
      <c r="B2321" s="71" t="s">
        <v>2313</v>
      </c>
      <c r="C2321" s="55" t="s">
        <v>1840</v>
      </c>
      <c r="D2321" s="56"/>
      <c r="E2321" s="62">
        <v>0</v>
      </c>
      <c r="F2321" s="38"/>
      <c r="G2321" s="38">
        <f t="shared" si="52"/>
        <v>0</v>
      </c>
    </row>
    <row r="2322" spans="1:7" ht="114.75">
      <c r="A2322" s="38"/>
      <c r="B2322" s="145" t="s">
        <v>2314</v>
      </c>
      <c r="C2322" s="132" t="s">
        <v>2004</v>
      </c>
      <c r="D2322" s="51" t="s">
        <v>140</v>
      </c>
      <c r="E2322" s="61">
        <v>1</v>
      </c>
      <c r="F2322" s="38"/>
      <c r="G2322" s="38">
        <f t="shared" si="52"/>
        <v>0</v>
      </c>
    </row>
    <row r="2323" spans="1:7" ht="102">
      <c r="A2323" s="38"/>
      <c r="B2323" s="145" t="s">
        <v>2315</v>
      </c>
      <c r="C2323" s="132" t="s">
        <v>2006</v>
      </c>
      <c r="D2323" s="51" t="s">
        <v>140</v>
      </c>
      <c r="E2323" s="61">
        <v>2</v>
      </c>
      <c r="F2323" s="38"/>
      <c r="G2323" s="38">
        <f t="shared" si="52"/>
        <v>0</v>
      </c>
    </row>
    <row r="2324" spans="1:7" ht="25.5">
      <c r="A2324" s="38"/>
      <c r="B2324" s="145" t="s">
        <v>2699</v>
      </c>
      <c r="C2324" s="132" t="s">
        <v>2698</v>
      </c>
      <c r="D2324" s="51" t="s">
        <v>140</v>
      </c>
      <c r="E2324" s="61">
        <v>3</v>
      </c>
      <c r="F2324" s="38"/>
      <c r="G2324" s="38">
        <f t="shared" ref="G2324" si="53">E2324*F2324</f>
        <v>0</v>
      </c>
    </row>
    <row r="2325" spans="1:7">
      <c r="A2325" s="38"/>
      <c r="B2325" s="71"/>
      <c r="C2325" s="50"/>
      <c r="D2325" s="51"/>
      <c r="E2325" s="61"/>
      <c r="F2325" s="38"/>
      <c r="G2325" s="38">
        <f t="shared" si="52"/>
        <v>0</v>
      </c>
    </row>
    <row r="2326" spans="1:7">
      <c r="A2326" s="38"/>
      <c r="B2326" s="145" t="s">
        <v>2316</v>
      </c>
      <c r="C2326" s="55" t="s">
        <v>202</v>
      </c>
      <c r="D2326" s="56"/>
      <c r="E2326" s="62">
        <v>0</v>
      </c>
      <c r="F2326" s="38"/>
      <c r="G2326" s="38">
        <f t="shared" si="52"/>
        <v>0</v>
      </c>
    </row>
    <row r="2327" spans="1:7" ht="63.75">
      <c r="A2327" s="38"/>
      <c r="B2327" s="145" t="s">
        <v>2317</v>
      </c>
      <c r="C2327" s="132" t="s">
        <v>2069</v>
      </c>
      <c r="D2327" s="51" t="s">
        <v>84</v>
      </c>
      <c r="E2327" s="61">
        <v>15.32</v>
      </c>
      <c r="F2327" s="38"/>
      <c r="G2327" s="38">
        <f>E2327*F2327</f>
        <v>0</v>
      </c>
    </row>
    <row r="2328" spans="1:7">
      <c r="E2328" s="157"/>
      <c r="F2328" s="1"/>
      <c r="G2328" s="1"/>
    </row>
    <row r="2329" spans="1:7">
      <c r="A2329" s="38"/>
      <c r="B2329" s="72" t="s">
        <v>2318</v>
      </c>
      <c r="C2329" s="48"/>
      <c r="D2329" s="15"/>
      <c r="E2329" s="122"/>
      <c r="F2329" s="54"/>
      <c r="G2329" s="58">
        <f>SUM(G2267:G2328)</f>
        <v>0</v>
      </c>
    </row>
    <row r="2330" spans="1:7">
      <c r="E2330" s="157"/>
      <c r="F2330" s="1"/>
      <c r="G2330" s="1"/>
    </row>
    <row r="2331" spans="1:7">
      <c r="A2331" s="38"/>
      <c r="B2331" s="141">
        <v>3.29</v>
      </c>
      <c r="C2331" s="72" t="s">
        <v>2319</v>
      </c>
      <c r="D2331" s="49"/>
      <c r="E2331" s="60">
        <v>0</v>
      </c>
      <c r="F2331" s="129"/>
      <c r="G2331" s="129"/>
    </row>
    <row r="2332" spans="1:7">
      <c r="A2332" s="38"/>
      <c r="B2332" s="128"/>
      <c r="C2332" s="116"/>
      <c r="D2332" s="56"/>
      <c r="E2332" s="62"/>
      <c r="F2332" s="38"/>
      <c r="G2332" s="38"/>
    </row>
    <row r="2333" spans="1:7" ht="38.25">
      <c r="A2333" s="38"/>
      <c r="B2333" s="128"/>
      <c r="C2333" s="138" t="s">
        <v>60</v>
      </c>
      <c r="D2333" s="56"/>
      <c r="E2333" s="62"/>
      <c r="F2333" s="38"/>
      <c r="G2333" s="38">
        <f t="shared" ref="G2333:G2390" si="54">E2333*F2333</f>
        <v>0</v>
      </c>
    </row>
    <row r="2334" spans="1:7">
      <c r="A2334" s="38"/>
      <c r="B2334" s="128"/>
      <c r="C2334" s="116"/>
      <c r="D2334" s="56"/>
      <c r="E2334" s="62"/>
      <c r="F2334" s="38"/>
      <c r="G2334" s="38">
        <f t="shared" si="54"/>
        <v>0</v>
      </c>
    </row>
    <row r="2335" spans="1:7">
      <c r="A2335" s="38"/>
      <c r="B2335" s="145" t="s">
        <v>2320</v>
      </c>
      <c r="C2335" s="55" t="s">
        <v>62</v>
      </c>
      <c r="D2335" s="56"/>
      <c r="E2335" s="62">
        <v>0</v>
      </c>
      <c r="F2335" s="38"/>
      <c r="G2335" s="38">
        <f t="shared" si="54"/>
        <v>0</v>
      </c>
    </row>
    <row r="2336" spans="1:7" ht="191.25">
      <c r="A2336" s="38"/>
      <c r="B2336" s="145" t="s">
        <v>2321</v>
      </c>
      <c r="C2336" s="138" t="s">
        <v>64</v>
      </c>
      <c r="D2336" s="132" t="s">
        <v>38</v>
      </c>
      <c r="E2336" s="61">
        <v>1</v>
      </c>
      <c r="F2336" s="38"/>
      <c r="G2336" s="38">
        <f t="shared" si="54"/>
        <v>0</v>
      </c>
    </row>
    <row r="2337" spans="1:7" ht="51">
      <c r="A2337" s="38"/>
      <c r="B2337" s="145" t="s">
        <v>2322</v>
      </c>
      <c r="C2337" s="132" t="s">
        <v>1929</v>
      </c>
      <c r="D2337" s="132" t="s">
        <v>84</v>
      </c>
      <c r="E2337" s="61">
        <v>130.83000000000001</v>
      </c>
      <c r="F2337" s="38"/>
      <c r="G2337" s="38">
        <f t="shared" si="54"/>
        <v>0</v>
      </c>
    </row>
    <row r="2338" spans="1:7" ht="38.25">
      <c r="A2338" s="38"/>
      <c r="B2338" s="145" t="s">
        <v>2323</v>
      </c>
      <c r="C2338" s="132" t="s">
        <v>1931</v>
      </c>
      <c r="D2338" s="132" t="s">
        <v>84</v>
      </c>
      <c r="E2338" s="61">
        <v>130.83000000000001</v>
      </c>
      <c r="F2338" s="38"/>
      <c r="G2338" s="38">
        <f t="shared" si="54"/>
        <v>0</v>
      </c>
    </row>
    <row r="2339" spans="1:7" ht="63.75">
      <c r="A2339" s="38"/>
      <c r="B2339" s="145" t="s">
        <v>2324</v>
      </c>
      <c r="C2339" s="132" t="s">
        <v>1933</v>
      </c>
      <c r="D2339" s="132" t="s">
        <v>84</v>
      </c>
      <c r="E2339" s="61">
        <v>50</v>
      </c>
      <c r="F2339" s="38"/>
      <c r="G2339" s="38">
        <f t="shared" si="54"/>
        <v>0</v>
      </c>
    </row>
    <row r="2340" spans="1:7" ht="51">
      <c r="A2340" s="38"/>
      <c r="B2340" s="145" t="s">
        <v>2325</v>
      </c>
      <c r="C2340" s="132" t="s">
        <v>1935</v>
      </c>
      <c r="D2340" s="51" t="s">
        <v>75</v>
      </c>
      <c r="E2340" s="61">
        <v>13.06</v>
      </c>
      <c r="F2340" s="38"/>
      <c r="G2340" s="38">
        <f t="shared" si="54"/>
        <v>0</v>
      </c>
    </row>
    <row r="2341" spans="1:7" ht="38.25">
      <c r="A2341" s="38"/>
      <c r="B2341" s="145" t="s">
        <v>2326</v>
      </c>
      <c r="C2341" s="132" t="s">
        <v>1937</v>
      </c>
      <c r="D2341" s="51" t="s">
        <v>75</v>
      </c>
      <c r="E2341" s="61">
        <v>89.77</v>
      </c>
      <c r="F2341" s="38"/>
      <c r="G2341" s="38">
        <f t="shared" si="54"/>
        <v>0</v>
      </c>
    </row>
    <row r="2342" spans="1:7">
      <c r="A2342" s="38"/>
      <c r="B2342" s="71"/>
      <c r="C2342" s="50"/>
      <c r="D2342" s="51"/>
      <c r="E2342" s="61"/>
      <c r="F2342" s="38"/>
      <c r="G2342" s="38">
        <f t="shared" si="54"/>
        <v>0</v>
      </c>
    </row>
    <row r="2343" spans="1:7">
      <c r="A2343" s="38"/>
      <c r="B2343" s="145" t="s">
        <v>2327</v>
      </c>
      <c r="C2343" s="55" t="s">
        <v>66</v>
      </c>
      <c r="D2343" s="56"/>
      <c r="E2343" s="62">
        <v>0</v>
      </c>
      <c r="F2343" s="13"/>
      <c r="G2343" s="38">
        <f t="shared" si="54"/>
        <v>0</v>
      </c>
    </row>
    <row r="2344" spans="1:7" ht="38.25">
      <c r="A2344" s="38"/>
      <c r="B2344" s="145" t="s">
        <v>2328</v>
      </c>
      <c r="C2344" s="138" t="s">
        <v>1940</v>
      </c>
      <c r="D2344" s="132" t="s">
        <v>38</v>
      </c>
      <c r="E2344" s="130" t="s">
        <v>1312</v>
      </c>
      <c r="F2344" s="4"/>
      <c r="G2344" s="38">
        <f t="shared" si="54"/>
        <v>0</v>
      </c>
    </row>
    <row r="2345" spans="1:7" ht="63.75">
      <c r="A2345" s="38"/>
      <c r="B2345" s="145" t="s">
        <v>2329</v>
      </c>
      <c r="C2345" s="138" t="s">
        <v>1942</v>
      </c>
      <c r="D2345" s="132" t="s">
        <v>38</v>
      </c>
      <c r="E2345" s="130" t="s">
        <v>1312</v>
      </c>
      <c r="F2345" s="4"/>
      <c r="G2345" s="38">
        <f t="shared" si="54"/>
        <v>0</v>
      </c>
    </row>
    <row r="2346" spans="1:7">
      <c r="A2346" s="38"/>
      <c r="B2346" s="71"/>
      <c r="C2346" s="50"/>
      <c r="D2346" s="51"/>
      <c r="E2346" s="61"/>
      <c r="F2346" s="38"/>
      <c r="G2346" s="38">
        <f t="shared" si="54"/>
        <v>0</v>
      </c>
    </row>
    <row r="2347" spans="1:7">
      <c r="A2347" s="38"/>
      <c r="B2347" s="145" t="s">
        <v>2330</v>
      </c>
      <c r="C2347" s="55" t="s">
        <v>72</v>
      </c>
      <c r="D2347" s="56"/>
      <c r="E2347" s="62">
        <v>0</v>
      </c>
      <c r="F2347" s="38"/>
      <c r="G2347" s="38">
        <f t="shared" si="54"/>
        <v>0</v>
      </c>
    </row>
    <row r="2348" spans="1:7" ht="76.5">
      <c r="A2348" s="38"/>
      <c r="B2348" s="145" t="s">
        <v>2331</v>
      </c>
      <c r="C2348" s="138" t="s">
        <v>1945</v>
      </c>
      <c r="D2348" s="51" t="s">
        <v>75</v>
      </c>
      <c r="E2348" s="112">
        <v>100.36</v>
      </c>
      <c r="F2348" s="38"/>
      <c r="G2348" s="38">
        <f t="shared" si="54"/>
        <v>0</v>
      </c>
    </row>
    <row r="2349" spans="1:7" ht="63.75">
      <c r="A2349" s="38"/>
      <c r="B2349" s="145" t="s">
        <v>2332</v>
      </c>
      <c r="C2349" s="132" t="s">
        <v>2025</v>
      </c>
      <c r="D2349" s="51" t="s">
        <v>75</v>
      </c>
      <c r="E2349" s="112">
        <v>100.36</v>
      </c>
      <c r="F2349" s="38"/>
      <c r="G2349" s="38">
        <f t="shared" si="54"/>
        <v>0</v>
      </c>
    </row>
    <row r="2350" spans="1:7" ht="63.75">
      <c r="A2350" s="38"/>
      <c r="B2350" s="145" t="s">
        <v>2333</v>
      </c>
      <c r="C2350" s="132" t="s">
        <v>2027</v>
      </c>
      <c r="D2350" s="51" t="s">
        <v>75</v>
      </c>
      <c r="E2350" s="112">
        <v>100.36</v>
      </c>
      <c r="F2350" s="38"/>
      <c r="G2350" s="38">
        <f t="shared" si="54"/>
        <v>0</v>
      </c>
    </row>
    <row r="2351" spans="1:7" ht="63.75">
      <c r="A2351" s="38"/>
      <c r="B2351" s="145" t="s">
        <v>2334</v>
      </c>
      <c r="C2351" s="132" t="s">
        <v>1951</v>
      </c>
      <c r="D2351" s="51" t="s">
        <v>84</v>
      </c>
      <c r="E2351" s="61">
        <v>100.99</v>
      </c>
      <c r="F2351" s="38"/>
      <c r="G2351" s="38">
        <f t="shared" si="54"/>
        <v>0</v>
      </c>
    </row>
    <row r="2352" spans="1:7" ht="63.75">
      <c r="A2352" s="38"/>
      <c r="B2352" s="145" t="s">
        <v>2335</v>
      </c>
      <c r="C2352" s="138" t="s">
        <v>1955</v>
      </c>
      <c r="D2352" s="51" t="s">
        <v>84</v>
      </c>
      <c r="E2352" s="61">
        <v>6.4</v>
      </c>
      <c r="F2352" s="38"/>
      <c r="G2352" s="38">
        <f t="shared" si="54"/>
        <v>0</v>
      </c>
    </row>
    <row r="2353" spans="1:7">
      <c r="A2353" s="38"/>
      <c r="B2353" s="71"/>
      <c r="C2353" s="50"/>
      <c r="D2353" s="51"/>
      <c r="E2353" s="61"/>
      <c r="F2353" s="38"/>
      <c r="G2353" s="38">
        <f t="shared" si="54"/>
        <v>0</v>
      </c>
    </row>
    <row r="2354" spans="1:7">
      <c r="A2354" s="38"/>
      <c r="B2354" s="145" t="s">
        <v>2336</v>
      </c>
      <c r="C2354" s="55" t="s">
        <v>93</v>
      </c>
      <c r="D2354" s="56"/>
      <c r="E2354" s="62">
        <v>0</v>
      </c>
      <c r="F2354" s="38"/>
      <c r="G2354" s="38">
        <f t="shared" si="54"/>
        <v>0</v>
      </c>
    </row>
    <row r="2355" spans="1:7" ht="63.75">
      <c r="A2355" s="38"/>
      <c r="B2355" s="145" t="s">
        <v>2337</v>
      </c>
      <c r="C2355" s="138" t="s">
        <v>1958</v>
      </c>
      <c r="D2355" s="51" t="s">
        <v>75</v>
      </c>
      <c r="E2355" s="112">
        <v>64.930000000000007</v>
      </c>
      <c r="F2355" s="4"/>
      <c r="G2355" s="38">
        <f t="shared" si="54"/>
        <v>0</v>
      </c>
    </row>
    <row r="2356" spans="1:7" ht="76.5">
      <c r="A2356" s="38"/>
      <c r="B2356" s="145" t="s">
        <v>2338</v>
      </c>
      <c r="C2356" s="132" t="s">
        <v>1960</v>
      </c>
      <c r="D2356" s="132" t="s">
        <v>75</v>
      </c>
      <c r="E2356" s="112">
        <v>129.86000000000001</v>
      </c>
      <c r="F2356" s="4"/>
      <c r="G2356" s="38">
        <f t="shared" si="54"/>
        <v>0</v>
      </c>
    </row>
    <row r="2357" spans="1:7" ht="89.25">
      <c r="A2357" s="38"/>
      <c r="B2357" s="145" t="s">
        <v>2339</v>
      </c>
      <c r="C2357" s="132" t="s">
        <v>1962</v>
      </c>
      <c r="D2357" s="51" t="s">
        <v>75</v>
      </c>
      <c r="E2357" s="112">
        <v>285.5</v>
      </c>
      <c r="F2357" s="38"/>
      <c r="G2357" s="38">
        <f t="shared" si="54"/>
        <v>0</v>
      </c>
    </row>
    <row r="2358" spans="1:7" ht="76.5">
      <c r="A2358" s="38"/>
      <c r="B2358" s="145" t="s">
        <v>2340</v>
      </c>
      <c r="C2358" s="138" t="s">
        <v>2037</v>
      </c>
      <c r="D2358" s="138" t="s">
        <v>75</v>
      </c>
      <c r="E2358" s="112">
        <v>4.12</v>
      </c>
      <c r="F2358" s="38"/>
      <c r="G2358" s="38">
        <f t="shared" si="54"/>
        <v>0</v>
      </c>
    </row>
    <row r="2359" spans="1:7" ht="51">
      <c r="A2359" s="38"/>
      <c r="B2359" s="145" t="s">
        <v>2341</v>
      </c>
      <c r="C2359" s="132" t="s">
        <v>1966</v>
      </c>
      <c r="D2359" s="132" t="s">
        <v>91</v>
      </c>
      <c r="E2359" s="132">
        <v>2</v>
      </c>
      <c r="F2359" s="4"/>
      <c r="G2359" s="38">
        <f t="shared" si="54"/>
        <v>0</v>
      </c>
    </row>
    <row r="2360" spans="1:7" ht="76.5">
      <c r="A2360" s="38"/>
      <c r="B2360" s="145" t="s">
        <v>2342</v>
      </c>
      <c r="C2360" s="138" t="s">
        <v>1968</v>
      </c>
      <c r="D2360" s="132" t="s">
        <v>75</v>
      </c>
      <c r="E2360" s="147">
        <v>28.93</v>
      </c>
      <c r="F2360" s="4"/>
      <c r="G2360" s="38">
        <f t="shared" si="54"/>
        <v>0</v>
      </c>
    </row>
    <row r="2361" spans="1:7" ht="89.25">
      <c r="A2361" s="38"/>
      <c r="B2361" s="145" t="s">
        <v>2343</v>
      </c>
      <c r="C2361" s="132" t="s">
        <v>2040</v>
      </c>
      <c r="D2361" s="51" t="s">
        <v>75</v>
      </c>
      <c r="E2361" s="61">
        <v>15.51</v>
      </c>
      <c r="F2361" s="38"/>
      <c r="G2361" s="38">
        <f t="shared" si="54"/>
        <v>0</v>
      </c>
    </row>
    <row r="2362" spans="1:7" ht="89.25">
      <c r="A2362" s="38"/>
      <c r="B2362" s="145" t="s">
        <v>2344</v>
      </c>
      <c r="C2362" s="132" t="s">
        <v>2042</v>
      </c>
      <c r="D2362" s="51" t="s">
        <v>75</v>
      </c>
      <c r="E2362" s="61">
        <v>2.4500000000000002</v>
      </c>
      <c r="F2362" s="38"/>
      <c r="G2362" s="38">
        <f t="shared" si="54"/>
        <v>0</v>
      </c>
    </row>
    <row r="2363" spans="1:7" ht="102">
      <c r="A2363" s="38"/>
      <c r="B2363" s="145" t="s">
        <v>2345</v>
      </c>
      <c r="C2363" s="132" t="s">
        <v>1974</v>
      </c>
      <c r="D2363" s="51" t="s">
        <v>75</v>
      </c>
      <c r="E2363" s="61">
        <v>252.48</v>
      </c>
      <c r="F2363" s="38"/>
      <c r="G2363" s="38">
        <f t="shared" si="54"/>
        <v>0</v>
      </c>
    </row>
    <row r="2364" spans="1:7" ht="89.25">
      <c r="A2364" s="38"/>
      <c r="B2364" s="145" t="s">
        <v>2346</v>
      </c>
      <c r="C2364" s="138" t="s">
        <v>1976</v>
      </c>
      <c r="D2364" s="51" t="s">
        <v>84</v>
      </c>
      <c r="E2364" s="61">
        <v>50</v>
      </c>
      <c r="F2364" s="38"/>
      <c r="G2364" s="38">
        <f t="shared" si="54"/>
        <v>0</v>
      </c>
    </row>
    <row r="2365" spans="1:7">
      <c r="A2365" s="38"/>
      <c r="B2365" s="71"/>
      <c r="C2365" s="50"/>
      <c r="D2365" s="51"/>
      <c r="E2365" s="61"/>
      <c r="F2365" s="38"/>
      <c r="G2365" s="38">
        <f t="shared" si="54"/>
        <v>0</v>
      </c>
    </row>
    <row r="2366" spans="1:7">
      <c r="A2366" s="38"/>
      <c r="B2366" s="145" t="s">
        <v>2347</v>
      </c>
      <c r="C2366" s="55" t="s">
        <v>123</v>
      </c>
      <c r="D2366" s="56"/>
      <c r="E2366" s="62">
        <v>0</v>
      </c>
      <c r="F2366" s="38"/>
      <c r="G2366" s="38">
        <f t="shared" si="54"/>
        <v>0</v>
      </c>
    </row>
    <row r="2367" spans="1:7" ht="127.5">
      <c r="A2367" s="38"/>
      <c r="B2367" s="145" t="s">
        <v>2348</v>
      </c>
      <c r="C2367" s="138" t="s">
        <v>1981</v>
      </c>
      <c r="D2367" s="51" t="s">
        <v>75</v>
      </c>
      <c r="E2367" s="61">
        <v>102.83</v>
      </c>
      <c r="F2367" s="38"/>
      <c r="G2367" s="38">
        <f t="shared" si="54"/>
        <v>0</v>
      </c>
    </row>
    <row r="2368" spans="1:7" ht="76.5">
      <c r="A2368" s="38"/>
      <c r="B2368" s="145" t="s">
        <v>2349</v>
      </c>
      <c r="C2368" s="138" t="s">
        <v>1983</v>
      </c>
      <c r="D2368" s="51" t="s">
        <v>75</v>
      </c>
      <c r="E2368" s="61">
        <v>102.54</v>
      </c>
      <c r="F2368" s="38"/>
      <c r="G2368" s="38">
        <f t="shared" si="54"/>
        <v>0</v>
      </c>
    </row>
    <row r="2369" spans="1:7" ht="102">
      <c r="A2369" s="38"/>
      <c r="B2369" s="145" t="s">
        <v>2350</v>
      </c>
      <c r="C2369" s="132" t="s">
        <v>2049</v>
      </c>
      <c r="D2369" s="51" t="s">
        <v>84</v>
      </c>
      <c r="E2369" s="61">
        <v>1.1499999999999999</v>
      </c>
      <c r="F2369" s="38"/>
      <c r="G2369" s="38">
        <f t="shared" si="54"/>
        <v>0</v>
      </c>
    </row>
    <row r="2370" spans="1:7" ht="89.25">
      <c r="A2370" s="38"/>
      <c r="B2370" s="145" t="s">
        <v>2351</v>
      </c>
      <c r="C2370" s="132" t="s">
        <v>2042</v>
      </c>
      <c r="D2370" s="51" t="s">
        <v>75</v>
      </c>
      <c r="E2370" s="61">
        <v>0.28999999999999998</v>
      </c>
      <c r="F2370" s="38"/>
      <c r="G2370" s="38">
        <f t="shared" si="54"/>
        <v>0</v>
      </c>
    </row>
    <row r="2371" spans="1:7" ht="51">
      <c r="A2371" s="38"/>
      <c r="B2371" s="145" t="s">
        <v>2352</v>
      </c>
      <c r="C2371" s="132" t="s">
        <v>1816</v>
      </c>
      <c r="D2371" s="51" t="s">
        <v>140</v>
      </c>
      <c r="E2371" s="61">
        <v>6</v>
      </c>
      <c r="F2371" s="38"/>
      <c r="G2371" s="38">
        <f t="shared" si="54"/>
        <v>0</v>
      </c>
    </row>
    <row r="2372" spans="1:7">
      <c r="A2372" s="38"/>
      <c r="B2372" s="71"/>
      <c r="C2372" s="50"/>
      <c r="D2372" s="51"/>
      <c r="E2372" s="61"/>
      <c r="F2372" s="38"/>
      <c r="G2372" s="38">
        <f t="shared" si="54"/>
        <v>0</v>
      </c>
    </row>
    <row r="2373" spans="1:7">
      <c r="A2373" s="38"/>
      <c r="B2373" s="145" t="s">
        <v>2353</v>
      </c>
      <c r="C2373" s="55" t="s">
        <v>146</v>
      </c>
      <c r="D2373" s="56"/>
      <c r="E2373" s="62">
        <v>0</v>
      </c>
      <c r="F2373" s="38"/>
      <c r="G2373" s="38">
        <f t="shared" si="54"/>
        <v>0</v>
      </c>
    </row>
    <row r="2374" spans="1:7" ht="191.25">
      <c r="A2374" s="38"/>
      <c r="B2374" s="145" t="s">
        <v>2354</v>
      </c>
      <c r="C2374" s="139" t="s">
        <v>2054</v>
      </c>
      <c r="D2374" s="51" t="s">
        <v>140</v>
      </c>
      <c r="E2374" s="61">
        <v>2</v>
      </c>
      <c r="F2374" s="38"/>
      <c r="G2374" s="38">
        <f t="shared" si="54"/>
        <v>0</v>
      </c>
    </row>
    <row r="2375" spans="1:7" ht="242.25">
      <c r="A2375" s="38"/>
      <c r="B2375" s="145" t="s">
        <v>2355</v>
      </c>
      <c r="C2375" s="130" t="s">
        <v>2056</v>
      </c>
      <c r="D2375" s="51" t="s">
        <v>140</v>
      </c>
      <c r="E2375" s="51">
        <v>6</v>
      </c>
      <c r="F2375" s="38"/>
      <c r="G2375" s="38">
        <f t="shared" si="54"/>
        <v>0</v>
      </c>
    </row>
    <row r="2376" spans="1:7">
      <c r="A2376" s="38"/>
      <c r="B2376" s="71"/>
      <c r="C2376" s="50"/>
      <c r="D2376" s="51"/>
      <c r="E2376" s="61"/>
      <c r="F2376" s="38"/>
      <c r="G2376" s="38">
        <f t="shared" si="54"/>
        <v>0</v>
      </c>
    </row>
    <row r="2377" spans="1:7">
      <c r="A2377" s="38"/>
      <c r="B2377" s="145" t="s">
        <v>2356</v>
      </c>
      <c r="C2377" s="55" t="s">
        <v>1992</v>
      </c>
      <c r="D2377" s="51"/>
      <c r="E2377" s="61"/>
      <c r="F2377" s="38"/>
      <c r="G2377" s="38">
        <f t="shared" si="54"/>
        <v>0</v>
      </c>
    </row>
    <row r="2378" spans="1:7" ht="191.25">
      <c r="A2378" s="38"/>
      <c r="B2378" s="145" t="s">
        <v>2357</v>
      </c>
      <c r="C2378" s="132" t="s">
        <v>2059</v>
      </c>
      <c r="D2378" s="51" t="s">
        <v>140</v>
      </c>
      <c r="E2378" s="51">
        <v>5</v>
      </c>
      <c r="F2378" s="38"/>
      <c r="G2378" s="38">
        <f t="shared" si="54"/>
        <v>0</v>
      </c>
    </row>
    <row r="2379" spans="1:7">
      <c r="A2379" s="38"/>
      <c r="B2379" s="71"/>
      <c r="C2379" s="50"/>
      <c r="D2379" s="51"/>
      <c r="E2379" s="61"/>
      <c r="F2379" s="38"/>
      <c r="G2379" s="38">
        <f t="shared" si="54"/>
        <v>0</v>
      </c>
    </row>
    <row r="2380" spans="1:7">
      <c r="A2380" s="38"/>
      <c r="B2380" s="145" t="s">
        <v>2358</v>
      </c>
      <c r="C2380" s="55" t="s">
        <v>151</v>
      </c>
      <c r="D2380" s="56"/>
      <c r="E2380" s="62">
        <v>0</v>
      </c>
      <c r="F2380" s="38"/>
      <c r="G2380" s="38">
        <f t="shared" si="54"/>
        <v>0</v>
      </c>
    </row>
    <row r="2381" spans="1:7" ht="89.25">
      <c r="A2381" s="38"/>
      <c r="B2381" s="145" t="s">
        <v>2359</v>
      </c>
      <c r="C2381" s="132" t="s">
        <v>1997</v>
      </c>
      <c r="D2381" s="51" t="s">
        <v>140</v>
      </c>
      <c r="E2381" s="61">
        <v>12</v>
      </c>
      <c r="F2381" s="38"/>
      <c r="G2381" s="38">
        <f t="shared" si="54"/>
        <v>0</v>
      </c>
    </row>
    <row r="2382" spans="1:7" ht="38.25">
      <c r="A2382" s="38"/>
      <c r="B2382" s="145" t="s">
        <v>2360</v>
      </c>
      <c r="C2382" s="138" t="s">
        <v>1999</v>
      </c>
      <c r="D2382" s="138" t="s">
        <v>140</v>
      </c>
      <c r="E2382" s="138" t="s">
        <v>2113</v>
      </c>
      <c r="F2382" s="38"/>
      <c r="G2382" s="38">
        <f t="shared" si="54"/>
        <v>0</v>
      </c>
    </row>
    <row r="2383" spans="1:7" ht="38.25">
      <c r="A2383" s="38"/>
      <c r="B2383" s="145" t="s">
        <v>2361</v>
      </c>
      <c r="C2383" s="138" t="s">
        <v>2001</v>
      </c>
      <c r="D2383" s="138" t="s">
        <v>1898</v>
      </c>
      <c r="E2383" s="138" t="s">
        <v>1312</v>
      </c>
      <c r="F2383" s="38"/>
      <c r="G2383" s="38">
        <f t="shared" si="54"/>
        <v>0</v>
      </c>
    </row>
    <row r="2384" spans="1:7">
      <c r="A2384" s="38"/>
      <c r="B2384" s="71"/>
      <c r="C2384" s="50"/>
      <c r="D2384" s="51"/>
      <c r="E2384" s="61"/>
      <c r="F2384" s="38"/>
      <c r="G2384" s="38">
        <f t="shared" si="54"/>
        <v>0</v>
      </c>
    </row>
    <row r="2385" spans="1:7">
      <c r="A2385" s="38"/>
      <c r="B2385" s="145" t="s">
        <v>2362</v>
      </c>
      <c r="C2385" s="55" t="s">
        <v>1840</v>
      </c>
      <c r="D2385" s="56"/>
      <c r="E2385" s="62">
        <v>0</v>
      </c>
      <c r="F2385" s="38"/>
      <c r="G2385" s="38">
        <f t="shared" si="54"/>
        <v>0</v>
      </c>
    </row>
    <row r="2386" spans="1:7" ht="114.75">
      <c r="A2386" s="38"/>
      <c r="B2386" s="145" t="s">
        <v>2363</v>
      </c>
      <c r="C2386" s="138" t="s">
        <v>2004</v>
      </c>
      <c r="D2386" s="51" t="s">
        <v>140</v>
      </c>
      <c r="E2386" s="61">
        <v>1</v>
      </c>
      <c r="F2386" s="38"/>
      <c r="G2386" s="38">
        <f t="shared" si="54"/>
        <v>0</v>
      </c>
    </row>
    <row r="2387" spans="1:7" ht="102">
      <c r="A2387" s="38"/>
      <c r="B2387" s="145" t="s">
        <v>2364</v>
      </c>
      <c r="C2387" s="138" t="s">
        <v>2006</v>
      </c>
      <c r="D2387" s="51" t="s">
        <v>140</v>
      </c>
      <c r="E2387" s="61">
        <v>1</v>
      </c>
      <c r="F2387" s="38"/>
      <c r="G2387" s="38">
        <f t="shared" si="54"/>
        <v>0</v>
      </c>
    </row>
    <row r="2388" spans="1:7" ht="25.5">
      <c r="A2388" s="38"/>
      <c r="B2388" s="145" t="s">
        <v>2697</v>
      </c>
      <c r="C2388" s="132" t="s">
        <v>2698</v>
      </c>
      <c r="D2388" s="51" t="s">
        <v>140</v>
      </c>
      <c r="E2388" s="61">
        <v>2</v>
      </c>
      <c r="F2388" s="38"/>
      <c r="G2388" s="38">
        <f t="shared" ref="G2388" si="55">E2388*F2388</f>
        <v>0</v>
      </c>
    </row>
    <row r="2389" spans="1:7">
      <c r="A2389" s="38"/>
      <c r="B2389" s="71"/>
      <c r="C2389" s="50"/>
      <c r="D2389" s="51"/>
      <c r="E2389" s="61"/>
      <c r="F2389" s="38"/>
      <c r="G2389" s="38">
        <f t="shared" si="54"/>
        <v>0</v>
      </c>
    </row>
    <row r="2390" spans="1:7">
      <c r="A2390" s="38"/>
      <c r="B2390" s="71" t="s">
        <v>2365</v>
      </c>
      <c r="C2390" s="55" t="s">
        <v>202</v>
      </c>
      <c r="D2390" s="56"/>
      <c r="E2390" s="62">
        <v>0</v>
      </c>
      <c r="F2390" s="38"/>
      <c r="G2390" s="38">
        <f t="shared" si="54"/>
        <v>0</v>
      </c>
    </row>
    <row r="2391" spans="1:7" ht="63.75">
      <c r="A2391" s="38"/>
      <c r="B2391" s="71" t="s">
        <v>2366</v>
      </c>
      <c r="C2391" s="138" t="s">
        <v>2069</v>
      </c>
      <c r="D2391" s="51" t="s">
        <v>84</v>
      </c>
      <c r="E2391" s="61">
        <v>1.1499999999999999</v>
      </c>
      <c r="F2391" s="38"/>
      <c r="G2391" s="38">
        <f>E2391*F2391</f>
        <v>0</v>
      </c>
    </row>
    <row r="2392" spans="1:7">
      <c r="E2392" s="157"/>
      <c r="F2392" s="1"/>
      <c r="G2392" s="1"/>
    </row>
    <row r="2393" spans="1:7">
      <c r="A2393" s="38"/>
      <c r="B2393" s="72" t="s">
        <v>2367</v>
      </c>
      <c r="C2393" s="48"/>
      <c r="D2393" s="15"/>
      <c r="E2393" s="122"/>
      <c r="F2393" s="54"/>
      <c r="G2393" s="58">
        <f>SUM(G2332:G2392)</f>
        <v>0</v>
      </c>
    </row>
    <row r="2394" spans="1:7">
      <c r="E2394" s="157"/>
      <c r="F2394" s="1"/>
      <c r="G2394" s="1"/>
    </row>
    <row r="2395" spans="1:7">
      <c r="A2395" s="38"/>
      <c r="B2395" s="150">
        <v>3.3</v>
      </c>
      <c r="C2395" s="72" t="s">
        <v>2368</v>
      </c>
      <c r="D2395" s="49"/>
      <c r="E2395" s="60">
        <v>0</v>
      </c>
      <c r="F2395" s="129"/>
      <c r="G2395" s="129"/>
    </row>
    <row r="2396" spans="1:7">
      <c r="A2396" s="38"/>
      <c r="B2396" s="128"/>
      <c r="C2396" s="116"/>
      <c r="D2396" s="56"/>
      <c r="E2396" s="62"/>
      <c r="F2396" s="38"/>
      <c r="G2396" s="38"/>
    </row>
    <row r="2397" spans="1:7" ht="38.25">
      <c r="A2397" s="38"/>
      <c r="B2397" s="128"/>
      <c r="C2397" s="50" t="s">
        <v>60</v>
      </c>
      <c r="D2397" s="56"/>
      <c r="E2397" s="62"/>
      <c r="F2397" s="38"/>
      <c r="G2397" s="38">
        <f t="shared" ref="G2397:G2447" si="56">E2397*F2397</f>
        <v>0</v>
      </c>
    </row>
    <row r="2398" spans="1:7">
      <c r="A2398" s="38"/>
      <c r="B2398" s="128"/>
      <c r="C2398" s="116"/>
      <c r="D2398" s="56"/>
      <c r="E2398" s="62"/>
      <c r="F2398" s="38"/>
      <c r="G2398" s="38">
        <f t="shared" si="56"/>
        <v>0</v>
      </c>
    </row>
    <row r="2399" spans="1:7">
      <c r="A2399" s="38"/>
      <c r="B2399" s="145" t="s">
        <v>2369</v>
      </c>
      <c r="C2399" s="55" t="s">
        <v>62</v>
      </c>
      <c r="D2399" s="56"/>
      <c r="E2399" s="62">
        <v>0</v>
      </c>
      <c r="F2399" s="38"/>
      <c r="G2399" s="38">
        <f t="shared" si="56"/>
        <v>0</v>
      </c>
    </row>
    <row r="2400" spans="1:7" ht="191.25">
      <c r="A2400" s="38"/>
      <c r="B2400" s="145" t="s">
        <v>2370</v>
      </c>
      <c r="C2400" s="138" t="s">
        <v>64</v>
      </c>
      <c r="D2400" s="132" t="s">
        <v>38</v>
      </c>
      <c r="E2400" s="61">
        <v>1</v>
      </c>
      <c r="F2400" s="38"/>
      <c r="G2400" s="38">
        <f t="shared" si="56"/>
        <v>0</v>
      </c>
    </row>
    <row r="2401" spans="1:7" ht="51">
      <c r="A2401" s="38"/>
      <c r="B2401" s="145" t="s">
        <v>2371</v>
      </c>
      <c r="C2401" s="138" t="s">
        <v>1929</v>
      </c>
      <c r="D2401" s="132" t="s">
        <v>84</v>
      </c>
      <c r="E2401" s="61">
        <v>68.900000000000006</v>
      </c>
      <c r="F2401" s="38"/>
      <c r="G2401" s="38">
        <f t="shared" si="56"/>
        <v>0</v>
      </c>
    </row>
    <row r="2402" spans="1:7" ht="38.25">
      <c r="A2402" s="38"/>
      <c r="B2402" s="145" t="s">
        <v>2372</v>
      </c>
      <c r="C2402" s="138" t="s">
        <v>1931</v>
      </c>
      <c r="D2402" s="132" t="s">
        <v>84</v>
      </c>
      <c r="E2402" s="61">
        <v>68.900000000000006</v>
      </c>
      <c r="F2402" s="38"/>
      <c r="G2402" s="38">
        <f t="shared" si="56"/>
        <v>0</v>
      </c>
    </row>
    <row r="2403" spans="1:7" ht="63.75">
      <c r="A2403" s="38"/>
      <c r="B2403" s="145" t="s">
        <v>2373</v>
      </c>
      <c r="C2403" s="138" t="s">
        <v>1933</v>
      </c>
      <c r="D2403" s="132" t="s">
        <v>84</v>
      </c>
      <c r="E2403" s="61">
        <v>22.5</v>
      </c>
      <c r="F2403" s="38"/>
      <c r="G2403" s="38">
        <f t="shared" si="56"/>
        <v>0</v>
      </c>
    </row>
    <row r="2404" spans="1:7" ht="51">
      <c r="A2404" s="38"/>
      <c r="B2404" s="145" t="s">
        <v>2374</v>
      </c>
      <c r="C2404" s="138" t="s">
        <v>1935</v>
      </c>
      <c r="D2404" s="51" t="s">
        <v>75</v>
      </c>
      <c r="E2404" s="61"/>
      <c r="F2404" s="38"/>
      <c r="G2404" s="38">
        <f t="shared" si="56"/>
        <v>0</v>
      </c>
    </row>
    <row r="2405" spans="1:7" ht="38.25">
      <c r="A2405" s="38"/>
      <c r="B2405" s="145" t="s">
        <v>2375</v>
      </c>
      <c r="C2405" s="138" t="s">
        <v>1937</v>
      </c>
      <c r="D2405" s="51" t="s">
        <v>75</v>
      </c>
      <c r="E2405" s="61">
        <v>68.900000000000006</v>
      </c>
      <c r="F2405" s="38"/>
      <c r="G2405" s="38">
        <f t="shared" si="56"/>
        <v>0</v>
      </c>
    </row>
    <row r="2406" spans="1:7">
      <c r="A2406" s="38"/>
      <c r="B2406" s="71"/>
      <c r="C2406" s="50"/>
      <c r="D2406" s="51"/>
      <c r="E2406" s="61"/>
      <c r="F2406" s="38"/>
      <c r="G2406" s="38">
        <f t="shared" si="56"/>
        <v>0</v>
      </c>
    </row>
    <row r="2407" spans="1:7">
      <c r="A2407" s="38"/>
      <c r="B2407" s="71" t="s">
        <v>2376</v>
      </c>
      <c r="C2407" s="55" t="s">
        <v>66</v>
      </c>
      <c r="D2407" s="56"/>
      <c r="E2407" s="62">
        <v>0</v>
      </c>
      <c r="F2407" s="13"/>
      <c r="G2407" s="38">
        <f t="shared" si="56"/>
        <v>0</v>
      </c>
    </row>
    <row r="2408" spans="1:7" ht="38.25">
      <c r="A2408" s="38"/>
      <c r="B2408" s="71" t="s">
        <v>2377</v>
      </c>
      <c r="C2408" s="138" t="s">
        <v>1940</v>
      </c>
      <c r="D2408" s="138" t="s">
        <v>38</v>
      </c>
      <c r="E2408" s="139" t="s">
        <v>1312</v>
      </c>
      <c r="F2408" s="4"/>
      <c r="G2408" s="38">
        <f t="shared" si="56"/>
        <v>0</v>
      </c>
    </row>
    <row r="2409" spans="1:7" ht="63.75">
      <c r="A2409" s="38"/>
      <c r="B2409" s="71" t="s">
        <v>2378</v>
      </c>
      <c r="C2409" s="138" t="s">
        <v>1942</v>
      </c>
      <c r="D2409" s="138" t="s">
        <v>38</v>
      </c>
      <c r="E2409" s="139" t="s">
        <v>1312</v>
      </c>
      <c r="F2409" s="4"/>
      <c r="G2409" s="38">
        <f t="shared" si="56"/>
        <v>0</v>
      </c>
    </row>
    <row r="2410" spans="1:7">
      <c r="A2410" s="38"/>
      <c r="B2410" s="71"/>
      <c r="C2410" s="50"/>
      <c r="D2410" s="51"/>
      <c r="E2410" s="61"/>
      <c r="F2410" s="38"/>
      <c r="G2410" s="38">
        <f t="shared" si="56"/>
        <v>0</v>
      </c>
    </row>
    <row r="2411" spans="1:7">
      <c r="A2411" s="38"/>
      <c r="B2411" s="71" t="s">
        <v>2379</v>
      </c>
      <c r="C2411" s="55" t="s">
        <v>72</v>
      </c>
      <c r="D2411" s="56"/>
      <c r="E2411" s="62">
        <v>0</v>
      </c>
      <c r="F2411" s="38"/>
      <c r="G2411" s="38">
        <f t="shared" si="56"/>
        <v>0</v>
      </c>
    </row>
    <row r="2412" spans="1:7" ht="76.5">
      <c r="A2412" s="38"/>
      <c r="B2412" s="71" t="s">
        <v>2380</v>
      </c>
      <c r="C2412" s="138" t="s">
        <v>1945</v>
      </c>
      <c r="D2412" s="51" t="s">
        <v>75</v>
      </c>
      <c r="E2412" s="112">
        <v>69.19</v>
      </c>
      <c r="F2412" s="38"/>
      <c r="G2412" s="38">
        <f t="shared" si="56"/>
        <v>0</v>
      </c>
    </row>
    <row r="2413" spans="1:7" ht="63.75">
      <c r="A2413" s="38"/>
      <c r="B2413" s="71" t="s">
        <v>2381</v>
      </c>
      <c r="C2413" s="138" t="s">
        <v>2025</v>
      </c>
      <c r="D2413" s="51" t="s">
        <v>75</v>
      </c>
      <c r="E2413" s="112">
        <v>69.19</v>
      </c>
      <c r="F2413" s="38"/>
      <c r="G2413" s="38">
        <f t="shared" si="56"/>
        <v>0</v>
      </c>
    </row>
    <row r="2414" spans="1:7" ht="63.75">
      <c r="A2414" s="38"/>
      <c r="B2414" s="71" t="s">
        <v>2382</v>
      </c>
      <c r="C2414" s="138" t="s">
        <v>2027</v>
      </c>
      <c r="D2414" s="51" t="s">
        <v>75</v>
      </c>
      <c r="E2414" s="112">
        <v>69.19</v>
      </c>
      <c r="F2414" s="38"/>
      <c r="G2414" s="38">
        <f t="shared" si="56"/>
        <v>0</v>
      </c>
    </row>
    <row r="2415" spans="1:7" ht="63.75">
      <c r="A2415" s="38"/>
      <c r="B2415" s="71" t="s">
        <v>2383</v>
      </c>
      <c r="C2415" s="138" t="s">
        <v>1951</v>
      </c>
      <c r="D2415" s="51" t="s">
        <v>84</v>
      </c>
      <c r="E2415" s="61">
        <v>57.39</v>
      </c>
      <c r="F2415" s="38"/>
      <c r="G2415" s="38">
        <f t="shared" si="56"/>
        <v>0</v>
      </c>
    </row>
    <row r="2416" spans="1:7" ht="63.75">
      <c r="A2416" s="38"/>
      <c r="B2416" s="71" t="s">
        <v>2384</v>
      </c>
      <c r="C2416" s="138" t="s">
        <v>1955</v>
      </c>
      <c r="D2416" s="51" t="s">
        <v>84</v>
      </c>
      <c r="E2416" s="61">
        <v>1.6</v>
      </c>
      <c r="F2416" s="38"/>
      <c r="G2416" s="38">
        <f t="shared" si="56"/>
        <v>0</v>
      </c>
    </row>
    <row r="2417" spans="1:7">
      <c r="A2417" s="38"/>
      <c r="B2417" s="71"/>
      <c r="C2417" s="50"/>
      <c r="D2417" s="51"/>
      <c r="E2417" s="61"/>
      <c r="F2417" s="38"/>
      <c r="G2417" s="38">
        <f t="shared" si="56"/>
        <v>0</v>
      </c>
    </row>
    <row r="2418" spans="1:7">
      <c r="A2418" s="38"/>
      <c r="B2418" s="71" t="s">
        <v>2385</v>
      </c>
      <c r="C2418" s="55" t="s">
        <v>93</v>
      </c>
      <c r="D2418" s="56"/>
      <c r="E2418" s="62">
        <v>0</v>
      </c>
      <c r="F2418" s="38"/>
      <c r="G2418" s="38">
        <f t="shared" si="56"/>
        <v>0</v>
      </c>
    </row>
    <row r="2419" spans="1:7" ht="63.75">
      <c r="A2419" s="38"/>
      <c r="B2419" s="71" t="s">
        <v>2386</v>
      </c>
      <c r="C2419" s="138" t="s">
        <v>1958</v>
      </c>
      <c r="D2419" s="51" t="s">
        <v>75</v>
      </c>
      <c r="E2419" s="112">
        <v>7.4</v>
      </c>
      <c r="F2419" s="4"/>
      <c r="G2419" s="38">
        <f t="shared" si="56"/>
        <v>0</v>
      </c>
    </row>
    <row r="2420" spans="1:7" ht="76.5">
      <c r="A2420" s="38"/>
      <c r="B2420" s="142" t="s">
        <v>2387</v>
      </c>
      <c r="C2420" s="138" t="s">
        <v>1960</v>
      </c>
      <c r="D2420" s="138" t="s">
        <v>75</v>
      </c>
      <c r="E2420" s="139">
        <v>14.8</v>
      </c>
      <c r="F2420" s="4"/>
      <c r="G2420" s="38">
        <f t="shared" si="56"/>
        <v>0</v>
      </c>
    </row>
    <row r="2421" spans="1:7" ht="89.25">
      <c r="A2421" s="38"/>
      <c r="B2421" s="71" t="s">
        <v>2388</v>
      </c>
      <c r="C2421" s="138" t="s">
        <v>1962</v>
      </c>
      <c r="D2421" s="51" t="s">
        <v>75</v>
      </c>
      <c r="E2421" s="112">
        <v>143.47999999999999</v>
      </c>
      <c r="F2421" s="38"/>
      <c r="G2421" s="38">
        <f t="shared" si="56"/>
        <v>0</v>
      </c>
    </row>
    <row r="2422" spans="1:7" ht="51">
      <c r="A2422" s="38"/>
      <c r="B2422" s="71" t="s">
        <v>2389</v>
      </c>
      <c r="C2422" s="138" t="s">
        <v>1966</v>
      </c>
      <c r="D2422" s="138" t="s">
        <v>91</v>
      </c>
      <c r="E2422" s="138">
        <v>2</v>
      </c>
      <c r="F2422" s="4"/>
      <c r="G2422" s="38">
        <f t="shared" si="56"/>
        <v>0</v>
      </c>
    </row>
    <row r="2423" spans="1:7" ht="89.25">
      <c r="A2423" s="38"/>
      <c r="B2423" s="71" t="s">
        <v>2390</v>
      </c>
      <c r="C2423" s="138" t="s">
        <v>2040</v>
      </c>
      <c r="D2423" s="51" t="s">
        <v>75</v>
      </c>
      <c r="E2423" s="61">
        <v>7.05</v>
      </c>
      <c r="F2423" s="38"/>
      <c r="G2423" s="38">
        <f t="shared" si="56"/>
        <v>0</v>
      </c>
    </row>
    <row r="2424" spans="1:7">
      <c r="A2424" s="38"/>
      <c r="B2424" s="71"/>
      <c r="C2424" s="50"/>
      <c r="D2424" s="51"/>
      <c r="E2424" s="61"/>
      <c r="F2424" s="38"/>
      <c r="G2424" s="38"/>
    </row>
    <row r="2425" spans="1:7" ht="102">
      <c r="A2425" s="38"/>
      <c r="B2425" s="71" t="s">
        <v>2391</v>
      </c>
      <c r="C2425" s="138" t="s">
        <v>1974</v>
      </c>
      <c r="D2425" s="51" t="s">
        <v>75</v>
      </c>
      <c r="E2425" s="61">
        <v>143.47999999999999</v>
      </c>
      <c r="F2425" s="38"/>
      <c r="G2425" s="38">
        <f t="shared" si="56"/>
        <v>0</v>
      </c>
    </row>
    <row r="2426" spans="1:7" ht="89.25">
      <c r="A2426" s="38"/>
      <c r="B2426" s="71" t="s">
        <v>2392</v>
      </c>
      <c r="C2426" s="138" t="s">
        <v>1976</v>
      </c>
      <c r="D2426" s="51" t="s">
        <v>84</v>
      </c>
      <c r="E2426" s="61">
        <v>22.5</v>
      </c>
      <c r="F2426" s="38"/>
      <c r="G2426" s="38">
        <f t="shared" si="56"/>
        <v>0</v>
      </c>
    </row>
    <row r="2427" spans="1:7">
      <c r="A2427" s="38"/>
      <c r="B2427" s="71"/>
      <c r="C2427" s="50"/>
      <c r="D2427" s="51"/>
      <c r="E2427" s="61"/>
      <c r="F2427" s="38"/>
      <c r="G2427" s="38">
        <f t="shared" si="56"/>
        <v>0</v>
      </c>
    </row>
    <row r="2428" spans="1:7">
      <c r="A2428" s="38"/>
      <c r="B2428" s="71" t="s">
        <v>2393</v>
      </c>
      <c r="C2428" s="55" t="s">
        <v>123</v>
      </c>
      <c r="D2428" s="56"/>
      <c r="E2428" s="62">
        <v>0</v>
      </c>
      <c r="F2428" s="38"/>
      <c r="G2428" s="38">
        <f t="shared" si="56"/>
        <v>0</v>
      </c>
    </row>
    <row r="2429" spans="1:7" ht="127.5">
      <c r="A2429" s="38"/>
      <c r="B2429" s="71" t="s">
        <v>2394</v>
      </c>
      <c r="C2429" s="138" t="s">
        <v>1981</v>
      </c>
      <c r="D2429" s="51" t="s">
        <v>75</v>
      </c>
      <c r="E2429" s="61">
        <v>68.900000000000006</v>
      </c>
      <c r="F2429" s="38"/>
      <c r="G2429" s="38">
        <f t="shared" si="56"/>
        <v>0</v>
      </c>
    </row>
    <row r="2430" spans="1:7" ht="76.5">
      <c r="A2430" s="38"/>
      <c r="B2430" s="71" t="s">
        <v>2395</v>
      </c>
      <c r="C2430" s="138" t="s">
        <v>1983</v>
      </c>
      <c r="D2430" s="51" t="s">
        <v>75</v>
      </c>
      <c r="E2430" s="61">
        <v>68.900000000000006</v>
      </c>
      <c r="F2430" s="38"/>
      <c r="G2430" s="38">
        <f t="shared" si="56"/>
        <v>0</v>
      </c>
    </row>
    <row r="2431" spans="1:7" ht="51">
      <c r="A2431" s="38"/>
      <c r="B2431" s="71" t="s">
        <v>2396</v>
      </c>
      <c r="C2431" s="50" t="s">
        <v>1816</v>
      </c>
      <c r="D2431" s="51" t="s">
        <v>140</v>
      </c>
      <c r="E2431" s="61">
        <v>3</v>
      </c>
      <c r="F2431" s="38"/>
      <c r="G2431" s="38">
        <f t="shared" si="56"/>
        <v>0</v>
      </c>
    </row>
    <row r="2432" spans="1:7">
      <c r="A2432" s="38"/>
      <c r="B2432" s="71"/>
      <c r="C2432" s="50"/>
      <c r="D2432" s="51"/>
      <c r="E2432" s="61"/>
      <c r="F2432" s="38"/>
      <c r="G2432" s="38">
        <f t="shared" si="56"/>
        <v>0</v>
      </c>
    </row>
    <row r="2433" spans="1:7">
      <c r="A2433" s="38"/>
      <c r="B2433" s="71" t="s">
        <v>2397</v>
      </c>
      <c r="C2433" s="55" t="s">
        <v>146</v>
      </c>
      <c r="D2433" s="56"/>
      <c r="E2433" s="62">
        <v>0</v>
      </c>
      <c r="F2433" s="38"/>
      <c r="G2433" s="38">
        <f t="shared" si="56"/>
        <v>0</v>
      </c>
    </row>
    <row r="2434" spans="1:7" ht="191.25">
      <c r="A2434" s="38"/>
      <c r="B2434" s="71" t="s">
        <v>2398</v>
      </c>
      <c r="C2434" s="139" t="s">
        <v>2054</v>
      </c>
      <c r="D2434" s="51" t="s">
        <v>140</v>
      </c>
      <c r="E2434" s="61">
        <v>1</v>
      </c>
      <c r="F2434" s="38"/>
      <c r="G2434" s="38">
        <f t="shared" si="56"/>
        <v>0</v>
      </c>
    </row>
    <row r="2435" spans="1:7" ht="242.25">
      <c r="A2435" s="38"/>
      <c r="B2435" s="71" t="s">
        <v>2399</v>
      </c>
      <c r="C2435" s="139" t="s">
        <v>2056</v>
      </c>
      <c r="D2435" s="51" t="s">
        <v>140</v>
      </c>
      <c r="E2435" s="51">
        <v>5</v>
      </c>
      <c r="F2435" s="38"/>
      <c r="G2435" s="38">
        <f t="shared" si="56"/>
        <v>0</v>
      </c>
    </row>
    <row r="2436" spans="1:7">
      <c r="A2436" s="38"/>
      <c r="B2436" s="71"/>
      <c r="C2436" s="50"/>
      <c r="D2436" s="51"/>
      <c r="E2436" s="61"/>
      <c r="F2436" s="38"/>
      <c r="G2436" s="38">
        <f t="shared" si="56"/>
        <v>0</v>
      </c>
    </row>
    <row r="2437" spans="1:7">
      <c r="A2437" s="38"/>
      <c r="B2437" s="71" t="s">
        <v>2400</v>
      </c>
      <c r="C2437" s="55" t="s">
        <v>1992</v>
      </c>
      <c r="D2437" s="51"/>
      <c r="E2437" s="61"/>
      <c r="F2437" s="38"/>
      <c r="G2437" s="38">
        <f t="shared" si="56"/>
        <v>0</v>
      </c>
    </row>
    <row r="2438" spans="1:7" ht="191.25">
      <c r="A2438" s="38"/>
      <c r="B2438" s="71" t="s">
        <v>2401</v>
      </c>
      <c r="C2438" s="138" t="s">
        <v>2059</v>
      </c>
      <c r="D2438" s="51" t="s">
        <v>140</v>
      </c>
      <c r="E2438" s="51">
        <v>5</v>
      </c>
      <c r="F2438" s="38"/>
      <c r="G2438" s="38">
        <f t="shared" si="56"/>
        <v>0</v>
      </c>
    </row>
    <row r="2439" spans="1:7">
      <c r="A2439" s="38"/>
      <c r="B2439" s="71"/>
      <c r="C2439" s="50"/>
      <c r="D2439" s="51"/>
      <c r="E2439" s="61"/>
      <c r="F2439" s="38"/>
      <c r="G2439" s="38">
        <f t="shared" si="56"/>
        <v>0</v>
      </c>
    </row>
    <row r="2440" spans="1:7">
      <c r="A2440" s="38"/>
      <c r="B2440" s="71" t="s">
        <v>2402</v>
      </c>
      <c r="C2440" s="55" t="s">
        <v>151</v>
      </c>
      <c r="D2440" s="56"/>
      <c r="E2440" s="62">
        <v>0</v>
      </c>
      <c r="F2440" s="38"/>
      <c r="G2440" s="38">
        <f t="shared" si="56"/>
        <v>0</v>
      </c>
    </row>
    <row r="2441" spans="1:7" ht="89.25">
      <c r="A2441" s="38"/>
      <c r="B2441" s="71" t="s">
        <v>2403</v>
      </c>
      <c r="C2441" s="50" t="s">
        <v>1997</v>
      </c>
      <c r="D2441" s="51" t="s">
        <v>140</v>
      </c>
      <c r="E2441" s="61">
        <v>6</v>
      </c>
      <c r="F2441" s="38"/>
      <c r="G2441" s="38">
        <f t="shared" si="56"/>
        <v>0</v>
      </c>
    </row>
    <row r="2442" spans="1:7" ht="38.25">
      <c r="A2442" s="38"/>
      <c r="B2442" s="71" t="s">
        <v>2404</v>
      </c>
      <c r="C2442" s="138" t="s">
        <v>1999</v>
      </c>
      <c r="D2442" s="138" t="s">
        <v>140</v>
      </c>
      <c r="E2442" s="138" t="s">
        <v>2113</v>
      </c>
      <c r="F2442" s="38"/>
      <c r="G2442" s="38">
        <f t="shared" si="56"/>
        <v>0</v>
      </c>
    </row>
    <row r="2443" spans="1:7" ht="38.25">
      <c r="A2443" s="38"/>
      <c r="B2443" s="71" t="s">
        <v>2405</v>
      </c>
      <c r="C2443" s="138" t="s">
        <v>2001</v>
      </c>
      <c r="D2443" s="138" t="s">
        <v>1898</v>
      </c>
      <c r="E2443" s="138" t="s">
        <v>1312</v>
      </c>
      <c r="F2443" s="38"/>
      <c r="G2443" s="38">
        <f t="shared" si="56"/>
        <v>0</v>
      </c>
    </row>
    <row r="2444" spans="1:7">
      <c r="A2444" s="38"/>
      <c r="B2444" s="71"/>
      <c r="C2444" s="50"/>
      <c r="D2444" s="51"/>
      <c r="E2444" s="61"/>
      <c r="F2444" s="38"/>
      <c r="G2444" s="38">
        <f t="shared" si="56"/>
        <v>0</v>
      </c>
    </row>
    <row r="2445" spans="1:7">
      <c r="A2445" s="38"/>
      <c r="B2445" s="71" t="s">
        <v>2406</v>
      </c>
      <c r="C2445" s="55" t="s">
        <v>2407</v>
      </c>
      <c r="D2445" s="56"/>
      <c r="E2445" s="62">
        <v>0</v>
      </c>
      <c r="F2445" s="38"/>
      <c r="G2445" s="38">
        <f t="shared" si="56"/>
        <v>0</v>
      </c>
    </row>
    <row r="2446" spans="1:7" ht="114.75">
      <c r="A2446" s="38"/>
      <c r="B2446" s="71" t="s">
        <v>2408</v>
      </c>
      <c r="C2446" s="138" t="s">
        <v>2004</v>
      </c>
      <c r="D2446" s="51" t="s">
        <v>140</v>
      </c>
      <c r="E2446" s="61">
        <v>1</v>
      </c>
      <c r="F2446" s="38"/>
      <c r="G2446" s="38">
        <f t="shared" si="56"/>
        <v>0</v>
      </c>
    </row>
    <row r="2447" spans="1:7" ht="102">
      <c r="A2447" s="38"/>
      <c r="B2447" s="71" t="s">
        <v>2409</v>
      </c>
      <c r="C2447" s="138" t="s">
        <v>2006</v>
      </c>
      <c r="D2447" s="51" t="s">
        <v>140</v>
      </c>
      <c r="E2447" s="61">
        <v>1</v>
      </c>
      <c r="F2447" s="38"/>
      <c r="G2447" s="38">
        <f t="shared" si="56"/>
        <v>0</v>
      </c>
    </row>
    <row r="2448" spans="1:7" ht="25.5">
      <c r="A2448" s="38"/>
      <c r="B2448" s="71" t="s">
        <v>2696</v>
      </c>
      <c r="C2448" s="132" t="s">
        <v>2698</v>
      </c>
      <c r="D2448" s="51" t="s">
        <v>140</v>
      </c>
      <c r="E2448" s="61">
        <v>2</v>
      </c>
      <c r="F2448" s="38"/>
      <c r="G2448" s="38">
        <f>E2448*F2448</f>
        <v>0</v>
      </c>
    </row>
    <row r="2449" spans="1:7">
      <c r="A2449" s="38"/>
      <c r="B2449" s="71"/>
      <c r="C2449" s="50"/>
      <c r="D2449" s="51"/>
      <c r="E2449" s="61"/>
      <c r="F2449" s="38"/>
      <c r="G2449" s="38"/>
    </row>
    <row r="2450" spans="1:7">
      <c r="A2450" s="38"/>
      <c r="B2450" s="72" t="s">
        <v>2410</v>
      </c>
      <c r="C2450" s="48"/>
      <c r="D2450" s="15"/>
      <c r="E2450" s="122"/>
      <c r="F2450" s="54"/>
      <c r="G2450" s="58">
        <f>SUM(G2396:G2449)</f>
        <v>0</v>
      </c>
    </row>
    <row r="2452" spans="1:7">
      <c r="B2452" s="158" t="s">
        <v>2668</v>
      </c>
      <c r="C2452" s="161" t="s">
        <v>2688</v>
      </c>
      <c r="D2452" s="53"/>
      <c r="E2452" s="60"/>
      <c r="F2452" s="129"/>
      <c r="G2452" s="129"/>
    </row>
    <row r="2454" spans="1:7">
      <c r="B2454" s="158" t="s">
        <v>2689</v>
      </c>
      <c r="C2454" s="161" t="s">
        <v>2643</v>
      </c>
      <c r="D2454" s="53"/>
      <c r="E2454" s="60"/>
      <c r="F2454" s="129"/>
      <c r="G2454" s="129"/>
    </row>
    <row r="2455" spans="1:7">
      <c r="B2455" s="71"/>
      <c r="C2455" s="138"/>
      <c r="D2455" s="51"/>
      <c r="E2455" s="61"/>
      <c r="F2455" s="38"/>
      <c r="G2455" s="38"/>
    </row>
    <row r="2456" spans="1:7" ht="38.25">
      <c r="B2456" s="71" t="s">
        <v>22</v>
      </c>
      <c r="C2456" s="138" t="s">
        <v>23</v>
      </c>
      <c r="D2456" s="51"/>
      <c r="E2456" s="61"/>
      <c r="F2456" s="38"/>
      <c r="G2456" s="38"/>
    </row>
    <row r="2457" spans="1:7">
      <c r="B2457" s="71"/>
      <c r="C2457" s="138"/>
      <c r="D2457" s="51"/>
      <c r="E2457" s="61"/>
      <c r="F2457" s="38"/>
      <c r="G2457" s="38"/>
    </row>
    <row r="2458" spans="1:7" ht="102">
      <c r="B2458" s="71" t="s">
        <v>24</v>
      </c>
      <c r="C2458" s="138" t="s">
        <v>25</v>
      </c>
      <c r="D2458" s="51"/>
      <c r="E2458" s="61"/>
      <c r="F2458" s="38"/>
      <c r="G2458" s="38"/>
    </row>
    <row r="2459" spans="1:7">
      <c r="B2459" s="71"/>
      <c r="C2459" s="138"/>
      <c r="D2459" s="51"/>
      <c r="E2459" s="61"/>
      <c r="F2459" s="38"/>
      <c r="G2459" s="38"/>
    </row>
    <row r="2460" spans="1:7" ht="25.5">
      <c r="B2460" s="71" t="s">
        <v>26</v>
      </c>
      <c r="C2460" s="138" t="s">
        <v>29</v>
      </c>
      <c r="D2460" s="51"/>
      <c r="E2460" s="61"/>
      <c r="F2460" s="38"/>
      <c r="G2460" s="38"/>
    </row>
    <row r="2461" spans="1:7">
      <c r="B2461" s="71"/>
      <c r="C2461" s="138"/>
      <c r="D2461" s="51"/>
      <c r="E2461" s="61"/>
      <c r="F2461" s="38"/>
      <c r="G2461" s="38"/>
    </row>
    <row r="2462" spans="1:7" ht="25.5">
      <c r="B2462" s="71" t="s">
        <v>28</v>
      </c>
      <c r="C2462" s="138" t="s">
        <v>2412</v>
      </c>
      <c r="D2462" s="51"/>
      <c r="E2462" s="61"/>
      <c r="F2462" s="38"/>
      <c r="G2462" s="38"/>
    </row>
    <row r="2463" spans="1:7">
      <c r="B2463" s="71"/>
      <c r="C2463" s="138"/>
      <c r="D2463" s="51"/>
      <c r="E2463" s="61"/>
      <c r="F2463" s="38"/>
      <c r="G2463" s="38"/>
    </row>
    <row r="2464" spans="1:7" ht="76.5">
      <c r="B2464" s="71" t="s">
        <v>30</v>
      </c>
      <c r="C2464" s="138" t="s">
        <v>2644</v>
      </c>
      <c r="D2464" s="51"/>
      <c r="E2464" s="61"/>
      <c r="F2464" s="38"/>
      <c r="G2464" s="38"/>
    </row>
    <row r="2465" spans="2:7">
      <c r="B2465" s="71"/>
      <c r="C2465" s="138"/>
      <c r="D2465" s="51"/>
      <c r="E2465" s="61"/>
      <c r="F2465" s="38"/>
      <c r="G2465" s="38"/>
    </row>
    <row r="2466" spans="2:7">
      <c r="B2466" s="158">
        <v>0</v>
      </c>
      <c r="C2466" s="161" t="s">
        <v>2645</v>
      </c>
      <c r="D2466" s="159"/>
      <c r="E2466" s="160"/>
      <c r="F2466" s="129"/>
      <c r="G2466" s="129"/>
    </row>
    <row r="2467" spans="2:7">
      <c r="B2467" s="71"/>
      <c r="C2467" s="138"/>
      <c r="D2467" s="51"/>
      <c r="E2467" s="61"/>
      <c r="F2467" s="38"/>
      <c r="G2467" s="38"/>
    </row>
    <row r="2468" spans="2:7">
      <c r="B2468" s="71">
        <v>1</v>
      </c>
      <c r="C2468" s="138" t="s">
        <v>2646</v>
      </c>
      <c r="D2468" s="51"/>
      <c r="E2468" s="61"/>
      <c r="F2468" s="38"/>
      <c r="G2468" s="38"/>
    </row>
    <row r="2469" spans="2:7">
      <c r="B2469" s="71"/>
      <c r="C2469" s="138"/>
      <c r="D2469" s="51"/>
      <c r="E2469" s="61"/>
      <c r="F2469" s="38"/>
      <c r="G2469" s="38"/>
    </row>
    <row r="2470" spans="2:7" ht="76.5">
      <c r="B2470" s="71" t="s">
        <v>32</v>
      </c>
      <c r="C2470" s="138" t="s">
        <v>2647</v>
      </c>
      <c r="D2470" s="51"/>
      <c r="E2470" s="61"/>
      <c r="F2470" s="38"/>
      <c r="G2470" s="38">
        <f t="shared" ref="G2470:G2520" si="57">E2470*F2470</f>
        <v>0</v>
      </c>
    </row>
    <row r="2471" spans="2:7">
      <c r="B2471" s="71"/>
      <c r="C2471" s="138"/>
      <c r="D2471" s="51"/>
      <c r="E2471" s="61"/>
      <c r="F2471" s="38"/>
      <c r="G2471" s="38">
        <f t="shared" si="57"/>
        <v>0</v>
      </c>
    </row>
    <row r="2472" spans="2:7">
      <c r="B2472" s="71" t="s">
        <v>34</v>
      </c>
      <c r="C2472" s="138" t="s">
        <v>2648</v>
      </c>
      <c r="D2472" s="51" t="s">
        <v>84</v>
      </c>
      <c r="E2472" s="61">
        <v>20</v>
      </c>
      <c r="F2472" s="38"/>
      <c r="G2472" s="38">
        <f t="shared" si="57"/>
        <v>0</v>
      </c>
    </row>
    <row r="2473" spans="2:7">
      <c r="B2473" s="71"/>
      <c r="C2473" s="138"/>
      <c r="D2473" s="51"/>
      <c r="E2473" s="61"/>
      <c r="F2473" s="38"/>
      <c r="G2473" s="38">
        <f t="shared" si="57"/>
        <v>0</v>
      </c>
    </row>
    <row r="2474" spans="2:7">
      <c r="B2474" s="71" t="s">
        <v>2424</v>
      </c>
      <c r="C2474" s="138" t="s">
        <v>2649</v>
      </c>
      <c r="D2474" s="51" t="s">
        <v>84</v>
      </c>
      <c r="E2474" s="61">
        <v>20</v>
      </c>
      <c r="F2474" s="38"/>
      <c r="G2474" s="38">
        <f t="shared" si="57"/>
        <v>0</v>
      </c>
    </row>
    <row r="2475" spans="2:7">
      <c r="B2475" s="71"/>
      <c r="C2475" s="138"/>
      <c r="D2475" s="51"/>
      <c r="E2475" s="61"/>
      <c r="F2475" s="38"/>
      <c r="G2475" s="38">
        <f t="shared" si="57"/>
        <v>0</v>
      </c>
    </row>
    <row r="2476" spans="2:7">
      <c r="B2476" s="71">
        <v>2</v>
      </c>
      <c r="C2476" s="138" t="s">
        <v>2650</v>
      </c>
      <c r="D2476" s="51"/>
      <c r="E2476" s="61"/>
      <c r="F2476" s="38"/>
      <c r="G2476" s="38">
        <f t="shared" si="57"/>
        <v>0</v>
      </c>
    </row>
    <row r="2477" spans="2:7">
      <c r="B2477" s="71"/>
      <c r="C2477" s="138"/>
      <c r="D2477" s="51"/>
      <c r="E2477" s="61"/>
      <c r="F2477" s="38"/>
      <c r="G2477" s="38">
        <f t="shared" si="57"/>
        <v>0</v>
      </c>
    </row>
    <row r="2478" spans="2:7" ht="51">
      <c r="B2478" s="71" t="s">
        <v>1668</v>
      </c>
      <c r="C2478" s="138" t="s">
        <v>2651</v>
      </c>
      <c r="D2478" s="51"/>
      <c r="E2478" s="61"/>
      <c r="F2478" s="38"/>
      <c r="G2478" s="38">
        <f t="shared" si="57"/>
        <v>0</v>
      </c>
    </row>
    <row r="2479" spans="2:7">
      <c r="B2479" s="71"/>
      <c r="C2479" s="138"/>
      <c r="D2479" s="51"/>
      <c r="E2479" s="61"/>
      <c r="F2479" s="38"/>
      <c r="G2479" s="38">
        <f t="shared" si="57"/>
        <v>0</v>
      </c>
    </row>
    <row r="2480" spans="2:7">
      <c r="B2480" s="71" t="s">
        <v>2652</v>
      </c>
      <c r="C2480" s="138" t="s">
        <v>2653</v>
      </c>
      <c r="D2480" s="51" t="s">
        <v>140</v>
      </c>
      <c r="E2480" s="61">
        <v>3</v>
      </c>
      <c r="F2480" s="38"/>
      <c r="G2480" s="38">
        <f t="shared" si="57"/>
        <v>0</v>
      </c>
    </row>
    <row r="2481" spans="2:7">
      <c r="B2481" s="71"/>
      <c r="C2481" s="138"/>
      <c r="D2481" s="51"/>
      <c r="E2481" s="61"/>
      <c r="F2481" s="38"/>
      <c r="G2481" s="38">
        <f t="shared" si="57"/>
        <v>0</v>
      </c>
    </row>
    <row r="2482" spans="2:7" ht="38.25">
      <c r="B2482" s="71" t="s">
        <v>1670</v>
      </c>
      <c r="C2482" s="138" t="s">
        <v>2654</v>
      </c>
      <c r="D2482" s="51"/>
      <c r="E2482" s="61"/>
      <c r="F2482" s="38"/>
      <c r="G2482" s="38">
        <f t="shared" si="57"/>
        <v>0</v>
      </c>
    </row>
    <row r="2483" spans="2:7">
      <c r="B2483" s="71"/>
      <c r="C2483" s="138"/>
      <c r="D2483" s="51"/>
      <c r="E2483" s="61"/>
      <c r="F2483" s="38"/>
      <c r="G2483" s="38">
        <f t="shared" si="57"/>
        <v>0</v>
      </c>
    </row>
    <row r="2484" spans="2:7">
      <c r="B2484" s="71" t="s">
        <v>2655</v>
      </c>
      <c r="C2484" s="138" t="s">
        <v>2656</v>
      </c>
      <c r="D2484" s="51" t="s">
        <v>140</v>
      </c>
      <c r="E2484" s="61">
        <v>1</v>
      </c>
      <c r="F2484" s="38"/>
      <c r="G2484" s="38">
        <f t="shared" si="57"/>
        <v>0</v>
      </c>
    </row>
    <row r="2485" spans="2:7">
      <c r="B2485" s="71"/>
      <c r="C2485" s="138"/>
      <c r="D2485" s="51"/>
      <c r="E2485" s="61"/>
      <c r="F2485" s="38"/>
      <c r="G2485" s="38">
        <f t="shared" si="57"/>
        <v>0</v>
      </c>
    </row>
    <row r="2486" spans="2:7">
      <c r="B2486" s="71">
        <v>0</v>
      </c>
      <c r="C2486" s="138" t="s">
        <v>2657</v>
      </c>
      <c r="D2486" s="51"/>
      <c r="E2486" s="61"/>
      <c r="F2486" s="38"/>
      <c r="G2486" s="38">
        <f t="shared" si="57"/>
        <v>0</v>
      </c>
    </row>
    <row r="2487" spans="2:7">
      <c r="B2487" s="71"/>
      <c r="C2487" s="138"/>
      <c r="D2487" s="51"/>
      <c r="E2487" s="61"/>
      <c r="F2487" s="38"/>
      <c r="G2487" s="38">
        <f t="shared" si="57"/>
        <v>0</v>
      </c>
    </row>
    <row r="2488" spans="2:7">
      <c r="B2488" s="71">
        <v>3</v>
      </c>
      <c r="C2488" s="138" t="s">
        <v>2646</v>
      </c>
      <c r="D2488" s="51"/>
      <c r="E2488" s="61"/>
      <c r="F2488" s="38"/>
      <c r="G2488" s="38">
        <f t="shared" si="57"/>
        <v>0</v>
      </c>
    </row>
    <row r="2489" spans="2:7">
      <c r="B2489" s="71"/>
      <c r="C2489" s="138"/>
      <c r="D2489" s="51"/>
      <c r="E2489" s="61"/>
      <c r="F2489" s="38"/>
      <c r="G2489" s="38">
        <f t="shared" si="57"/>
        <v>0</v>
      </c>
    </row>
    <row r="2490" spans="2:7" ht="76.5">
      <c r="B2490" s="71" t="s">
        <v>1716</v>
      </c>
      <c r="C2490" s="138" t="s">
        <v>2658</v>
      </c>
      <c r="D2490" s="51"/>
      <c r="E2490" s="61"/>
      <c r="F2490" s="38"/>
      <c r="G2490" s="38">
        <f t="shared" si="57"/>
        <v>0</v>
      </c>
    </row>
    <row r="2491" spans="2:7">
      <c r="B2491" s="71"/>
      <c r="C2491" s="138"/>
      <c r="D2491" s="51"/>
      <c r="E2491" s="61"/>
      <c r="F2491" s="38"/>
      <c r="G2491" s="38">
        <f t="shared" si="57"/>
        <v>0</v>
      </c>
    </row>
    <row r="2492" spans="2:7">
      <c r="B2492" s="71" t="s">
        <v>61</v>
      </c>
      <c r="C2492" s="138" t="s">
        <v>2648</v>
      </c>
      <c r="D2492" s="51" t="s">
        <v>84</v>
      </c>
      <c r="E2492" s="61">
        <v>15</v>
      </c>
      <c r="F2492" s="38"/>
      <c r="G2492" s="38">
        <f t="shared" si="57"/>
        <v>0</v>
      </c>
    </row>
    <row r="2493" spans="2:7">
      <c r="B2493" s="71"/>
      <c r="C2493" s="138"/>
      <c r="D2493" s="51"/>
      <c r="E2493" s="61"/>
      <c r="F2493" s="38"/>
      <c r="G2493" s="38">
        <f t="shared" si="57"/>
        <v>0</v>
      </c>
    </row>
    <row r="2494" spans="2:7">
      <c r="B2494" s="71" t="s">
        <v>65</v>
      </c>
      <c r="C2494" s="138" t="s">
        <v>2649</v>
      </c>
      <c r="D2494" s="51" t="s">
        <v>84</v>
      </c>
      <c r="E2494" s="61">
        <v>20</v>
      </c>
      <c r="F2494" s="38"/>
      <c r="G2494" s="38">
        <f t="shared" si="57"/>
        <v>0</v>
      </c>
    </row>
    <row r="2495" spans="2:7">
      <c r="B2495" s="71"/>
      <c r="C2495" s="138"/>
      <c r="D2495" s="51"/>
      <c r="E2495" s="61"/>
      <c r="F2495" s="38"/>
      <c r="G2495" s="38">
        <f t="shared" si="57"/>
        <v>0</v>
      </c>
    </row>
    <row r="2496" spans="2:7" ht="76.5">
      <c r="B2496" s="71" t="s">
        <v>1718</v>
      </c>
      <c r="C2496" s="138" t="s">
        <v>2659</v>
      </c>
      <c r="D2496" s="51"/>
      <c r="E2496" s="61"/>
      <c r="F2496" s="38"/>
      <c r="G2496" s="38">
        <f t="shared" si="57"/>
        <v>0</v>
      </c>
    </row>
    <row r="2497" spans="2:7">
      <c r="B2497" s="71"/>
      <c r="C2497" s="138"/>
      <c r="D2497" s="51"/>
      <c r="E2497" s="61"/>
      <c r="F2497" s="38"/>
      <c r="G2497" s="38">
        <f t="shared" si="57"/>
        <v>0</v>
      </c>
    </row>
    <row r="2498" spans="2:7">
      <c r="B2498" s="71" t="s">
        <v>209</v>
      </c>
      <c r="C2498" s="138" t="s">
        <v>2648</v>
      </c>
      <c r="D2498" s="51" t="s">
        <v>84</v>
      </c>
      <c r="E2498" s="61">
        <v>15</v>
      </c>
      <c r="F2498" s="38"/>
      <c r="G2498" s="38">
        <f t="shared" si="57"/>
        <v>0</v>
      </c>
    </row>
    <row r="2499" spans="2:7">
      <c r="B2499" s="71"/>
      <c r="C2499" s="138"/>
      <c r="D2499" s="51"/>
      <c r="E2499" s="61"/>
      <c r="F2499" s="38"/>
      <c r="G2499" s="38">
        <f t="shared" si="57"/>
        <v>0</v>
      </c>
    </row>
    <row r="2500" spans="2:7">
      <c r="B2500" s="71" t="s">
        <v>211</v>
      </c>
      <c r="C2500" s="138" t="s">
        <v>2649</v>
      </c>
      <c r="D2500" s="51" t="s">
        <v>84</v>
      </c>
      <c r="E2500" s="61">
        <v>20</v>
      </c>
      <c r="F2500" s="38"/>
      <c r="G2500" s="38">
        <f t="shared" si="57"/>
        <v>0</v>
      </c>
    </row>
    <row r="2501" spans="2:7">
      <c r="B2501" s="71"/>
      <c r="C2501" s="138"/>
      <c r="D2501" s="51"/>
      <c r="E2501" s="61"/>
      <c r="F2501" s="38"/>
      <c r="G2501" s="38">
        <f t="shared" si="57"/>
        <v>0</v>
      </c>
    </row>
    <row r="2502" spans="2:7">
      <c r="B2502" s="71">
        <v>4</v>
      </c>
      <c r="C2502" s="138" t="s">
        <v>2650</v>
      </c>
      <c r="D2502" s="51"/>
      <c r="E2502" s="61"/>
      <c r="F2502" s="38"/>
      <c r="G2502" s="38">
        <f t="shared" si="57"/>
        <v>0</v>
      </c>
    </row>
    <row r="2503" spans="2:7">
      <c r="B2503" s="71"/>
      <c r="C2503" s="138"/>
      <c r="D2503" s="51"/>
      <c r="E2503" s="61"/>
      <c r="F2503" s="38"/>
      <c r="G2503" s="38">
        <f t="shared" si="57"/>
        <v>0</v>
      </c>
    </row>
    <row r="2504" spans="2:7" ht="25.5">
      <c r="B2504" s="71" t="s">
        <v>1793</v>
      </c>
      <c r="C2504" s="138" t="s">
        <v>2660</v>
      </c>
      <c r="D2504" s="51" t="s">
        <v>1898</v>
      </c>
      <c r="E2504" s="61">
        <v>1</v>
      </c>
      <c r="F2504" s="38"/>
      <c r="G2504" s="38">
        <f t="shared" si="57"/>
        <v>0</v>
      </c>
    </row>
    <row r="2505" spans="2:7">
      <c r="B2505" s="71"/>
      <c r="C2505" s="138"/>
      <c r="D2505" s="51"/>
      <c r="E2505" s="61"/>
      <c r="F2505" s="38"/>
      <c r="G2505" s="38">
        <f t="shared" si="57"/>
        <v>0</v>
      </c>
    </row>
    <row r="2506" spans="2:7">
      <c r="B2506" s="71"/>
      <c r="C2506" s="138"/>
      <c r="D2506" s="51"/>
      <c r="E2506" s="61"/>
      <c r="F2506" s="38"/>
      <c r="G2506" s="38">
        <f t="shared" si="57"/>
        <v>0</v>
      </c>
    </row>
    <row r="2507" spans="2:7">
      <c r="B2507" s="71">
        <v>0</v>
      </c>
      <c r="C2507" s="138" t="s">
        <v>2407</v>
      </c>
      <c r="D2507" s="51">
        <v>0</v>
      </c>
      <c r="E2507" s="61">
        <v>0</v>
      </c>
      <c r="F2507" s="38"/>
      <c r="G2507" s="38">
        <f t="shared" si="57"/>
        <v>0</v>
      </c>
    </row>
    <row r="2508" spans="2:7">
      <c r="B2508" s="71"/>
      <c r="C2508" s="138"/>
      <c r="D2508" s="51"/>
      <c r="E2508" s="61"/>
      <c r="F2508" s="38"/>
      <c r="G2508" s="38">
        <f t="shared" si="57"/>
        <v>0</v>
      </c>
    </row>
    <row r="2509" spans="2:7" ht="51">
      <c r="B2509" s="71">
        <v>5</v>
      </c>
      <c r="C2509" s="138" t="s">
        <v>2661</v>
      </c>
      <c r="D2509" s="51"/>
      <c r="E2509" s="61"/>
      <c r="F2509" s="38"/>
      <c r="G2509" s="38">
        <f t="shared" si="57"/>
        <v>0</v>
      </c>
    </row>
    <row r="2510" spans="2:7">
      <c r="B2510" s="71"/>
      <c r="C2510" s="138"/>
      <c r="D2510" s="51"/>
      <c r="E2510" s="61"/>
      <c r="F2510" s="38"/>
      <c r="G2510" s="38">
        <f t="shared" si="57"/>
        <v>0</v>
      </c>
    </row>
    <row r="2511" spans="2:7">
      <c r="B2511" s="71" t="s">
        <v>1823</v>
      </c>
      <c r="C2511" s="138" t="s">
        <v>2662</v>
      </c>
      <c r="D2511" s="51" t="s">
        <v>140</v>
      </c>
      <c r="E2511" s="61">
        <v>3</v>
      </c>
      <c r="F2511" s="38"/>
      <c r="G2511" s="38">
        <f t="shared" si="57"/>
        <v>0</v>
      </c>
    </row>
    <row r="2512" spans="2:7">
      <c r="B2512" s="71"/>
      <c r="C2512" s="138"/>
      <c r="D2512" s="51"/>
      <c r="E2512" s="61"/>
      <c r="F2512" s="38"/>
      <c r="G2512" s="38">
        <f t="shared" si="57"/>
        <v>0</v>
      </c>
    </row>
    <row r="2513" spans="2:7" ht="63.75">
      <c r="B2513" s="71">
        <v>6</v>
      </c>
      <c r="C2513" s="138" t="s">
        <v>2663</v>
      </c>
      <c r="D2513" s="51"/>
      <c r="E2513" s="61"/>
      <c r="F2513" s="38"/>
      <c r="G2513" s="38">
        <f t="shared" si="57"/>
        <v>0</v>
      </c>
    </row>
    <row r="2514" spans="2:7">
      <c r="B2514" s="71"/>
      <c r="C2514" s="138"/>
      <c r="D2514" s="51"/>
      <c r="E2514" s="61"/>
      <c r="F2514" s="38"/>
      <c r="G2514" s="38">
        <f t="shared" si="57"/>
        <v>0</v>
      </c>
    </row>
    <row r="2515" spans="2:7">
      <c r="B2515" s="71" t="s">
        <v>1829</v>
      </c>
      <c r="C2515" s="138" t="s">
        <v>2664</v>
      </c>
      <c r="D2515" s="51" t="s">
        <v>140</v>
      </c>
      <c r="E2515" s="61">
        <v>2</v>
      </c>
      <c r="F2515" s="38"/>
      <c r="G2515" s="38">
        <f t="shared" si="57"/>
        <v>0</v>
      </c>
    </row>
    <row r="2516" spans="2:7">
      <c r="B2516" s="71"/>
      <c r="C2516" s="138"/>
      <c r="D2516" s="51"/>
      <c r="E2516" s="61"/>
      <c r="F2516" s="38"/>
      <c r="G2516" s="38">
        <f t="shared" si="57"/>
        <v>0</v>
      </c>
    </row>
    <row r="2517" spans="2:7" ht="25.5">
      <c r="B2517" s="71">
        <v>7</v>
      </c>
      <c r="C2517" s="138" t="s">
        <v>2665</v>
      </c>
      <c r="D2517" s="51" t="s">
        <v>38</v>
      </c>
      <c r="E2517" s="61">
        <v>1</v>
      </c>
      <c r="F2517" s="38"/>
      <c r="G2517" s="38">
        <f t="shared" si="57"/>
        <v>0</v>
      </c>
    </row>
    <row r="2518" spans="2:7">
      <c r="B2518" s="71"/>
      <c r="C2518" s="138"/>
      <c r="D2518" s="51"/>
      <c r="E2518" s="61"/>
      <c r="F2518" s="38"/>
      <c r="G2518" s="38">
        <f t="shared" si="57"/>
        <v>0</v>
      </c>
    </row>
    <row r="2519" spans="2:7">
      <c r="B2519" s="71">
        <v>8</v>
      </c>
      <c r="C2519" s="138" t="s">
        <v>2666</v>
      </c>
      <c r="D2519" s="51" t="s">
        <v>38</v>
      </c>
      <c r="E2519" s="61">
        <v>1</v>
      </c>
      <c r="F2519" s="38"/>
      <c r="G2519" s="38">
        <f t="shared" si="57"/>
        <v>0</v>
      </c>
    </row>
    <row r="2520" spans="2:7">
      <c r="B2520" s="71"/>
      <c r="C2520" s="138"/>
      <c r="D2520" s="51"/>
      <c r="E2520" s="61"/>
      <c r="F2520" s="38"/>
      <c r="G2520" s="38">
        <f t="shared" si="57"/>
        <v>0</v>
      </c>
    </row>
    <row r="2521" spans="2:7">
      <c r="B2521" s="71">
        <v>9</v>
      </c>
      <c r="C2521" s="138" t="s">
        <v>2667</v>
      </c>
      <c r="D2521" s="51" t="s">
        <v>38</v>
      </c>
      <c r="E2521" s="61">
        <v>1</v>
      </c>
      <c r="F2521" s="38"/>
      <c r="G2521" s="38">
        <f>E2521*F2521</f>
        <v>0</v>
      </c>
    </row>
    <row r="2522" spans="2:7">
      <c r="B2522" s="71"/>
      <c r="C2522" s="138"/>
      <c r="D2522" s="51"/>
      <c r="E2522" s="61"/>
      <c r="F2522" s="38"/>
      <c r="G2522" s="38"/>
    </row>
    <row r="2523" spans="2:7">
      <c r="B2523" s="158"/>
      <c r="C2523" s="161" t="s">
        <v>2669</v>
      </c>
      <c r="D2523" s="159"/>
      <c r="E2523" s="160"/>
      <c r="F2523" s="129"/>
      <c r="G2523" s="129"/>
    </row>
    <row r="2524" spans="2:7" ht="38.25">
      <c r="B2524" s="71" t="s">
        <v>22</v>
      </c>
      <c r="C2524" s="138" t="s">
        <v>23</v>
      </c>
      <c r="D2524" s="51"/>
      <c r="E2524" s="61"/>
      <c r="F2524" s="38"/>
      <c r="G2524" s="38"/>
    </row>
    <row r="2525" spans="2:7">
      <c r="B2525" s="71"/>
      <c r="C2525" s="138"/>
      <c r="D2525" s="51"/>
      <c r="E2525" s="61"/>
      <c r="F2525" s="38"/>
      <c r="G2525" s="38"/>
    </row>
    <row r="2526" spans="2:7" ht="102">
      <c r="B2526" s="71" t="s">
        <v>24</v>
      </c>
      <c r="C2526" s="138" t="s">
        <v>25</v>
      </c>
      <c r="D2526" s="51"/>
      <c r="E2526" s="61"/>
      <c r="F2526" s="38"/>
      <c r="G2526" s="38"/>
    </row>
    <row r="2527" spans="2:7">
      <c r="B2527" s="71"/>
      <c r="C2527" s="138"/>
      <c r="D2527" s="51"/>
      <c r="E2527" s="61"/>
      <c r="F2527" s="38"/>
      <c r="G2527" s="38"/>
    </row>
    <row r="2528" spans="2:7" ht="25.5">
      <c r="B2528" s="71" t="s">
        <v>26</v>
      </c>
      <c r="C2528" s="138" t="s">
        <v>29</v>
      </c>
      <c r="D2528" s="51"/>
      <c r="E2528" s="61"/>
      <c r="F2528" s="38"/>
      <c r="G2528" s="38"/>
    </row>
    <row r="2529" spans="2:7">
      <c r="B2529" s="71"/>
      <c r="C2529" s="138"/>
      <c r="D2529" s="51"/>
      <c r="E2529" s="61"/>
      <c r="F2529" s="38"/>
      <c r="G2529" s="38"/>
    </row>
    <row r="2530" spans="2:7" ht="25.5">
      <c r="B2530" s="71" t="s">
        <v>28</v>
      </c>
      <c r="C2530" s="138" t="s">
        <v>2412</v>
      </c>
      <c r="D2530" s="51"/>
      <c r="E2530" s="61"/>
      <c r="F2530" s="38"/>
      <c r="G2530" s="38"/>
    </row>
    <row r="2531" spans="2:7">
      <c r="B2531" s="71"/>
      <c r="C2531" s="138"/>
      <c r="D2531" s="51"/>
      <c r="E2531" s="61"/>
      <c r="F2531" s="38"/>
      <c r="G2531" s="38"/>
    </row>
    <row r="2532" spans="2:7" ht="76.5">
      <c r="B2532" s="71" t="s">
        <v>30</v>
      </c>
      <c r="C2532" s="138" t="s">
        <v>2644</v>
      </c>
      <c r="D2532" s="51"/>
      <c r="E2532" s="61"/>
      <c r="F2532" s="38"/>
      <c r="G2532" s="38"/>
    </row>
    <row r="2533" spans="2:7">
      <c r="B2533" s="71"/>
      <c r="C2533" s="138"/>
      <c r="D2533" s="51"/>
      <c r="E2533" s="61"/>
      <c r="F2533" s="38"/>
      <c r="G2533" s="38"/>
    </row>
    <row r="2534" spans="2:7" ht="38.25">
      <c r="B2534" s="71" t="s">
        <v>2516</v>
      </c>
      <c r="C2534" s="138" t="s">
        <v>2670</v>
      </c>
      <c r="D2534" s="51"/>
      <c r="E2534" s="61"/>
      <c r="F2534" s="38"/>
      <c r="G2534" s="38"/>
    </row>
    <row r="2535" spans="2:7">
      <c r="B2535" s="71"/>
      <c r="C2535" s="138"/>
      <c r="D2535" s="51"/>
      <c r="E2535" s="61"/>
      <c r="F2535" s="38"/>
      <c r="G2535" s="38"/>
    </row>
    <row r="2536" spans="2:7">
      <c r="B2536" s="158">
        <v>0</v>
      </c>
      <c r="C2536" s="161" t="s">
        <v>2671</v>
      </c>
      <c r="D2536" s="53"/>
      <c r="E2536" s="60"/>
      <c r="F2536" s="129"/>
      <c r="G2536" s="129"/>
    </row>
    <row r="2537" spans="2:7">
      <c r="B2537" s="71"/>
      <c r="C2537" s="138"/>
      <c r="D2537" s="51"/>
      <c r="E2537" s="61"/>
      <c r="F2537" s="38"/>
      <c r="G2537" s="38"/>
    </row>
    <row r="2538" spans="2:7">
      <c r="B2538" s="71" t="s">
        <v>1663</v>
      </c>
      <c r="C2538" s="138" t="s">
        <v>2672</v>
      </c>
      <c r="D2538" s="51"/>
      <c r="E2538" s="61"/>
      <c r="F2538" s="38"/>
      <c r="G2538" s="38"/>
    </row>
    <row r="2539" spans="2:7">
      <c r="B2539" s="71"/>
      <c r="C2539" s="138"/>
      <c r="D2539" s="51"/>
      <c r="E2539" s="61"/>
      <c r="F2539" s="38"/>
      <c r="G2539" s="38">
        <f t="shared" ref="G2539:G2565" si="58">E2539*F2539</f>
        <v>0</v>
      </c>
    </row>
    <row r="2540" spans="2:7" ht="76.5">
      <c r="B2540" s="71" t="s">
        <v>32</v>
      </c>
      <c r="C2540" s="138" t="s">
        <v>2673</v>
      </c>
      <c r="D2540" s="51"/>
      <c r="E2540" s="61"/>
      <c r="F2540" s="38"/>
      <c r="G2540" s="38">
        <f t="shared" si="58"/>
        <v>0</v>
      </c>
    </row>
    <row r="2541" spans="2:7">
      <c r="B2541" s="71"/>
      <c r="C2541" s="138"/>
      <c r="D2541" s="51"/>
      <c r="E2541" s="61"/>
      <c r="F2541" s="38"/>
      <c r="G2541" s="38">
        <f t="shared" si="58"/>
        <v>0</v>
      </c>
    </row>
    <row r="2542" spans="2:7">
      <c r="B2542" s="71" t="s">
        <v>34</v>
      </c>
      <c r="C2542" s="138" t="s">
        <v>2674</v>
      </c>
      <c r="D2542" s="51" t="s">
        <v>84</v>
      </c>
      <c r="E2542" s="61">
        <v>10</v>
      </c>
      <c r="F2542" s="38"/>
      <c r="G2542" s="38">
        <f t="shared" si="58"/>
        <v>0</v>
      </c>
    </row>
    <row r="2543" spans="2:7">
      <c r="B2543" s="71"/>
      <c r="C2543" s="138"/>
      <c r="D2543" s="51"/>
      <c r="E2543" s="61"/>
      <c r="F2543" s="38"/>
      <c r="G2543" s="38">
        <f t="shared" si="58"/>
        <v>0</v>
      </c>
    </row>
    <row r="2544" spans="2:7">
      <c r="B2544" s="71" t="s">
        <v>2431</v>
      </c>
      <c r="C2544" s="138" t="s">
        <v>2675</v>
      </c>
      <c r="D2544" s="51" t="s">
        <v>84</v>
      </c>
      <c r="E2544" s="61">
        <v>5</v>
      </c>
      <c r="F2544" s="38"/>
      <c r="G2544" s="38">
        <f t="shared" si="58"/>
        <v>0</v>
      </c>
    </row>
    <row r="2545" spans="2:7">
      <c r="B2545" s="71"/>
      <c r="C2545" s="138"/>
      <c r="D2545" s="51"/>
      <c r="E2545" s="61"/>
      <c r="F2545" s="38"/>
      <c r="G2545" s="38">
        <f t="shared" si="58"/>
        <v>0</v>
      </c>
    </row>
    <row r="2546" spans="2:7" ht="165.75">
      <c r="B2546" s="71" t="s">
        <v>39</v>
      </c>
      <c r="C2546" s="138" t="s">
        <v>2676</v>
      </c>
      <c r="D2546" s="51"/>
      <c r="E2546" s="61"/>
      <c r="F2546" s="38"/>
      <c r="G2546" s="38">
        <f t="shared" si="58"/>
        <v>0</v>
      </c>
    </row>
    <row r="2547" spans="2:7">
      <c r="B2547" s="71"/>
      <c r="C2547" s="138"/>
      <c r="D2547" s="51"/>
      <c r="E2547" s="61"/>
      <c r="F2547" s="38"/>
      <c r="G2547" s="38">
        <f t="shared" si="58"/>
        <v>0</v>
      </c>
    </row>
    <row r="2548" spans="2:7">
      <c r="B2548" s="71" t="s">
        <v>41</v>
      </c>
      <c r="C2548" s="138" t="s">
        <v>2677</v>
      </c>
      <c r="D2548" s="51" t="s">
        <v>140</v>
      </c>
      <c r="E2548" s="61">
        <v>1</v>
      </c>
      <c r="F2548" s="38"/>
      <c r="G2548" s="38">
        <f t="shared" si="58"/>
        <v>0</v>
      </c>
    </row>
    <row r="2549" spans="2:7">
      <c r="B2549" s="71"/>
      <c r="C2549" s="138"/>
      <c r="D2549" s="51"/>
      <c r="E2549" s="61"/>
      <c r="F2549" s="38"/>
      <c r="G2549" s="38">
        <f t="shared" si="58"/>
        <v>0</v>
      </c>
    </row>
    <row r="2550" spans="2:7">
      <c r="B2550" s="71">
        <v>2</v>
      </c>
      <c r="C2550" s="138" t="s">
        <v>2650</v>
      </c>
      <c r="D2550" s="51"/>
      <c r="E2550" s="61"/>
      <c r="F2550" s="38"/>
      <c r="G2550" s="38">
        <f t="shared" si="58"/>
        <v>0</v>
      </c>
    </row>
    <row r="2551" spans="2:7">
      <c r="B2551" s="71"/>
      <c r="C2551" s="138"/>
      <c r="D2551" s="51"/>
      <c r="E2551" s="61"/>
      <c r="F2551" s="38"/>
      <c r="G2551" s="38">
        <f t="shared" si="58"/>
        <v>0</v>
      </c>
    </row>
    <row r="2552" spans="2:7" ht="38.25">
      <c r="B2552" s="71" t="s">
        <v>1668</v>
      </c>
      <c r="C2552" s="138" t="s">
        <v>2678</v>
      </c>
      <c r="D2552" s="51" t="s">
        <v>140</v>
      </c>
      <c r="E2552" s="61">
        <v>1</v>
      </c>
      <c r="F2552" s="38"/>
      <c r="G2552" s="38">
        <f t="shared" si="58"/>
        <v>0</v>
      </c>
    </row>
    <row r="2553" spans="2:7">
      <c r="B2553" s="71"/>
      <c r="C2553" s="138"/>
      <c r="D2553" s="51"/>
      <c r="E2553" s="61"/>
      <c r="F2553" s="38"/>
      <c r="G2553" s="38">
        <f t="shared" si="58"/>
        <v>0</v>
      </c>
    </row>
    <row r="2554" spans="2:7" ht="38.25">
      <c r="B2554" s="71" t="s">
        <v>1670</v>
      </c>
      <c r="C2554" s="138" t="s">
        <v>2679</v>
      </c>
      <c r="D2554" s="51"/>
      <c r="E2554" s="61"/>
      <c r="F2554" s="38"/>
      <c r="G2554" s="38">
        <f t="shared" si="58"/>
        <v>0</v>
      </c>
    </row>
    <row r="2555" spans="2:7">
      <c r="B2555" s="71"/>
      <c r="C2555" s="138"/>
      <c r="D2555" s="51"/>
      <c r="E2555" s="61"/>
      <c r="F2555" s="38"/>
      <c r="G2555" s="38">
        <f t="shared" si="58"/>
        <v>0</v>
      </c>
    </row>
    <row r="2556" spans="2:7">
      <c r="B2556" s="71" t="s">
        <v>2655</v>
      </c>
      <c r="C2556" s="138" t="s">
        <v>2680</v>
      </c>
      <c r="D2556" s="51" t="s">
        <v>140</v>
      </c>
      <c r="E2556" s="61">
        <v>1</v>
      </c>
      <c r="F2556" s="38"/>
      <c r="G2556" s="38">
        <f t="shared" si="58"/>
        <v>0</v>
      </c>
    </row>
    <row r="2557" spans="2:7">
      <c r="B2557" s="71"/>
      <c r="C2557" s="138"/>
      <c r="D2557" s="51"/>
      <c r="E2557" s="61"/>
      <c r="F2557" s="38"/>
      <c r="G2557" s="38">
        <f t="shared" si="58"/>
        <v>0</v>
      </c>
    </row>
    <row r="2558" spans="2:7" ht="38.25">
      <c r="B2558" s="71" t="s">
        <v>1672</v>
      </c>
      <c r="C2558" s="138" t="s">
        <v>2681</v>
      </c>
      <c r="D2558" s="51" t="s">
        <v>140</v>
      </c>
      <c r="E2558" s="61">
        <v>1</v>
      </c>
      <c r="F2558" s="38"/>
      <c r="G2558" s="38">
        <f t="shared" si="58"/>
        <v>0</v>
      </c>
    </row>
    <row r="2559" spans="2:7">
      <c r="B2559" s="71"/>
      <c r="C2559" s="138"/>
      <c r="D2559" s="51"/>
      <c r="E2559" s="61"/>
      <c r="F2559" s="38"/>
      <c r="G2559" s="38">
        <f t="shared" si="58"/>
        <v>0</v>
      </c>
    </row>
    <row r="2560" spans="2:7">
      <c r="B2560" s="71">
        <v>3</v>
      </c>
      <c r="C2560" s="138" t="s">
        <v>1840</v>
      </c>
      <c r="D2560" s="51"/>
      <c r="E2560" s="61"/>
      <c r="F2560" s="38"/>
      <c r="G2560" s="38">
        <f t="shared" si="58"/>
        <v>0</v>
      </c>
    </row>
    <row r="2561" spans="2:7">
      <c r="B2561" s="71"/>
      <c r="C2561" s="138"/>
      <c r="D2561" s="51"/>
      <c r="E2561" s="61"/>
      <c r="F2561" s="38"/>
      <c r="G2561" s="38">
        <f t="shared" si="58"/>
        <v>0</v>
      </c>
    </row>
    <row r="2562" spans="2:7" ht="25.5">
      <c r="B2562" s="71" t="s">
        <v>1716</v>
      </c>
      <c r="C2562" s="138" t="s">
        <v>2682</v>
      </c>
      <c r="D2562" s="51" t="s">
        <v>38</v>
      </c>
      <c r="E2562" s="61">
        <v>1</v>
      </c>
      <c r="F2562" s="38"/>
      <c r="G2562" s="38">
        <f t="shared" si="58"/>
        <v>0</v>
      </c>
    </row>
    <row r="2563" spans="2:7">
      <c r="B2563" s="71"/>
      <c r="C2563" s="138"/>
      <c r="D2563" s="51"/>
      <c r="E2563" s="61"/>
      <c r="F2563" s="38"/>
      <c r="G2563" s="38">
        <f t="shared" si="58"/>
        <v>0</v>
      </c>
    </row>
    <row r="2564" spans="2:7">
      <c r="B2564" s="71" t="s">
        <v>1718</v>
      </c>
      <c r="C2564" s="138" t="s">
        <v>2666</v>
      </c>
      <c r="D2564" s="51" t="s">
        <v>38</v>
      </c>
      <c r="E2564" s="61">
        <v>1</v>
      </c>
      <c r="F2564" s="38"/>
      <c r="G2564" s="38">
        <f t="shared" si="58"/>
        <v>0</v>
      </c>
    </row>
    <row r="2565" spans="2:7">
      <c r="B2565" s="71"/>
      <c r="C2565" s="138"/>
      <c r="D2565" s="51"/>
      <c r="E2565" s="61"/>
      <c r="F2565" s="38"/>
      <c r="G2565" s="38">
        <f t="shared" si="58"/>
        <v>0</v>
      </c>
    </row>
    <row r="2566" spans="2:7">
      <c r="B2566" s="71" t="s">
        <v>1720</v>
      </c>
      <c r="C2566" s="138" t="s">
        <v>2667</v>
      </c>
      <c r="D2566" s="51" t="s">
        <v>38</v>
      </c>
      <c r="E2566" s="61">
        <v>1</v>
      </c>
      <c r="F2566" s="38"/>
      <c r="G2566" s="38">
        <f>E2566*F2566</f>
        <v>0</v>
      </c>
    </row>
    <row r="2567" spans="2:7">
      <c r="B2567" s="71"/>
      <c r="C2567" s="138"/>
      <c r="D2567" s="51"/>
      <c r="E2567" s="61"/>
      <c r="F2567" s="38"/>
      <c r="G2567" s="38"/>
    </row>
    <row r="2568" spans="2:7">
      <c r="B2568" s="165" t="s">
        <v>2694</v>
      </c>
      <c r="C2568" s="161"/>
      <c r="D2568" s="53"/>
      <c r="E2568" s="60"/>
      <c r="F2568" s="129"/>
      <c r="G2568" s="129">
        <f>SUM(G2454:G2566)</f>
        <v>0</v>
      </c>
    </row>
    <row r="2569" spans="2:7">
      <c r="B2569" s="71"/>
      <c r="C2569" s="138"/>
      <c r="D2569" s="51"/>
      <c r="E2569" s="61"/>
      <c r="F2569" s="38"/>
      <c r="G2569" s="38"/>
    </row>
    <row r="2570" spans="2:7">
      <c r="B2570" s="114" t="s">
        <v>2695</v>
      </c>
      <c r="C2570" s="52"/>
      <c r="D2570" s="15"/>
      <c r="E2570" s="122"/>
      <c r="F2570" s="54"/>
      <c r="G2570" s="58"/>
    </row>
    <row r="2571" spans="2:7" ht="38.25">
      <c r="B2571" s="116"/>
      <c r="C2571" s="55" t="s">
        <v>207</v>
      </c>
      <c r="D2571" s="11" t="s">
        <v>140</v>
      </c>
      <c r="E2571" s="112">
        <v>144</v>
      </c>
      <c r="F2571" s="13"/>
      <c r="G2571" s="113">
        <f>E2571*G2568</f>
        <v>0</v>
      </c>
    </row>
    <row r="2573" spans="2:7">
      <c r="B2573" s="158"/>
      <c r="C2573" s="161" t="s">
        <v>2683</v>
      </c>
      <c r="D2573" s="53"/>
      <c r="E2573" s="60"/>
      <c r="F2573" s="129"/>
      <c r="G2573" s="129"/>
    </row>
    <row r="2574" spans="2:7">
      <c r="B2574" s="71"/>
      <c r="C2574" s="138"/>
      <c r="D2574" s="51"/>
      <c r="E2574" s="61"/>
      <c r="F2574" s="38"/>
    </row>
    <row r="2575" spans="2:7" ht="38.25">
      <c r="B2575" s="71" t="s">
        <v>22</v>
      </c>
      <c r="C2575" s="138" t="s">
        <v>23</v>
      </c>
      <c r="D2575" s="51"/>
      <c r="E2575" s="61"/>
      <c r="F2575" s="38"/>
    </row>
    <row r="2576" spans="2:7">
      <c r="B2576" s="71"/>
      <c r="C2576" s="138"/>
      <c r="D2576" s="51"/>
      <c r="E2576" s="61"/>
      <c r="F2576" s="38"/>
    </row>
    <row r="2577" spans="2:7" ht="102">
      <c r="B2577" s="71" t="s">
        <v>24</v>
      </c>
      <c r="C2577" s="138" t="s">
        <v>25</v>
      </c>
      <c r="D2577" s="51"/>
      <c r="E2577" s="61"/>
      <c r="F2577" s="38"/>
    </row>
    <row r="2578" spans="2:7">
      <c r="B2578" s="71"/>
      <c r="C2578" s="138"/>
      <c r="D2578" s="51"/>
      <c r="E2578" s="61"/>
      <c r="F2578" s="38"/>
    </row>
    <row r="2579" spans="2:7" ht="25.5">
      <c r="B2579" s="71" t="s">
        <v>26</v>
      </c>
      <c r="C2579" s="138" t="s">
        <v>29</v>
      </c>
      <c r="D2579" s="51"/>
      <c r="E2579" s="61"/>
      <c r="F2579" s="38"/>
    </row>
    <row r="2580" spans="2:7">
      <c r="B2580" s="71"/>
      <c r="C2580" s="138"/>
      <c r="D2580" s="51"/>
      <c r="E2580" s="61"/>
      <c r="F2580" s="38"/>
    </row>
    <row r="2581" spans="2:7" ht="25.5">
      <c r="B2581" s="71" t="s">
        <v>28</v>
      </c>
      <c r="C2581" s="138" t="s">
        <v>2412</v>
      </c>
      <c r="D2581" s="51"/>
      <c r="E2581" s="61"/>
      <c r="F2581" s="38"/>
    </row>
    <row r="2582" spans="2:7">
      <c r="B2582" s="71"/>
      <c r="C2582" s="138"/>
      <c r="D2582" s="51"/>
      <c r="E2582" s="61"/>
      <c r="F2582" s="38"/>
    </row>
    <row r="2583" spans="2:7" ht="76.5">
      <c r="B2583" s="71" t="s">
        <v>30</v>
      </c>
      <c r="C2583" s="138" t="s">
        <v>2644</v>
      </c>
      <c r="D2583" s="51"/>
      <c r="E2583" s="61"/>
      <c r="F2583" s="38"/>
    </row>
    <row r="2584" spans="2:7">
      <c r="B2584" s="71"/>
      <c r="C2584" s="138"/>
      <c r="D2584" s="51"/>
      <c r="E2584" s="61"/>
      <c r="F2584" s="38"/>
    </row>
    <row r="2585" spans="2:7">
      <c r="B2585" s="158">
        <v>0</v>
      </c>
      <c r="C2585" s="161" t="s">
        <v>2645</v>
      </c>
      <c r="D2585" s="53"/>
      <c r="E2585" s="60"/>
      <c r="F2585" s="129"/>
      <c r="G2585" s="164"/>
    </row>
    <row r="2586" spans="2:7">
      <c r="B2586" s="71"/>
      <c r="C2586" s="138"/>
      <c r="D2586" s="51"/>
      <c r="E2586" s="61"/>
      <c r="F2586" s="38"/>
    </row>
    <row r="2587" spans="2:7">
      <c r="B2587" s="71">
        <v>1</v>
      </c>
      <c r="C2587" s="138" t="s">
        <v>2646</v>
      </c>
      <c r="D2587" s="51"/>
      <c r="E2587" s="61"/>
      <c r="F2587" s="38"/>
      <c r="G2587" s="33">
        <f t="shared" ref="G2587:G2639" si="59">E2587*F2587</f>
        <v>0</v>
      </c>
    </row>
    <row r="2588" spans="2:7">
      <c r="B2588" s="71"/>
      <c r="C2588" s="138"/>
      <c r="D2588" s="51"/>
      <c r="E2588" s="61"/>
      <c r="F2588" s="38"/>
      <c r="G2588" s="33">
        <f t="shared" si="59"/>
        <v>0</v>
      </c>
    </row>
    <row r="2589" spans="2:7" ht="89.25">
      <c r="B2589" s="71" t="s">
        <v>32</v>
      </c>
      <c r="C2589" s="138" t="s">
        <v>2684</v>
      </c>
      <c r="D2589" s="51"/>
      <c r="E2589" s="61"/>
      <c r="F2589" s="38"/>
      <c r="G2589" s="33">
        <f t="shared" si="59"/>
        <v>0</v>
      </c>
    </row>
    <row r="2590" spans="2:7">
      <c r="B2590" s="71"/>
      <c r="C2590" s="138"/>
      <c r="D2590" s="51"/>
      <c r="E2590" s="61"/>
      <c r="F2590" s="38"/>
      <c r="G2590" s="33">
        <f t="shared" si="59"/>
        <v>0</v>
      </c>
    </row>
    <row r="2591" spans="2:7">
      <c r="B2591" s="71" t="s">
        <v>34</v>
      </c>
      <c r="C2591" s="138" t="s">
        <v>2648</v>
      </c>
      <c r="D2591" s="51" t="s">
        <v>84</v>
      </c>
      <c r="E2591" s="61">
        <v>20</v>
      </c>
      <c r="F2591" s="38"/>
      <c r="G2591" s="33">
        <f>E2591*F2591</f>
        <v>0</v>
      </c>
    </row>
    <row r="2592" spans="2:7">
      <c r="B2592" s="71"/>
      <c r="C2592" s="138"/>
      <c r="D2592" s="51"/>
      <c r="E2592" s="61"/>
      <c r="F2592" s="38"/>
      <c r="G2592" s="33">
        <f t="shared" si="59"/>
        <v>0</v>
      </c>
    </row>
    <row r="2593" spans="2:7">
      <c r="B2593" s="71" t="s">
        <v>2424</v>
      </c>
      <c r="C2593" s="138" t="s">
        <v>2649</v>
      </c>
      <c r="D2593" s="51" t="s">
        <v>84</v>
      </c>
      <c r="E2593" s="61">
        <v>20</v>
      </c>
      <c r="F2593" s="38"/>
      <c r="G2593" s="33">
        <f t="shared" si="59"/>
        <v>0</v>
      </c>
    </row>
    <row r="2594" spans="2:7">
      <c r="B2594" s="71"/>
      <c r="C2594" s="138"/>
      <c r="D2594" s="51"/>
      <c r="E2594" s="61"/>
      <c r="F2594" s="38"/>
      <c r="G2594" s="33">
        <f t="shared" si="59"/>
        <v>0</v>
      </c>
    </row>
    <row r="2595" spans="2:7">
      <c r="B2595" s="71">
        <v>2</v>
      </c>
      <c r="C2595" s="138" t="s">
        <v>2650</v>
      </c>
      <c r="D2595" s="51"/>
      <c r="E2595" s="61"/>
      <c r="F2595" s="38"/>
      <c r="G2595" s="33">
        <f t="shared" si="59"/>
        <v>0</v>
      </c>
    </row>
    <row r="2596" spans="2:7">
      <c r="B2596" s="71"/>
      <c r="C2596" s="138"/>
      <c r="D2596" s="51"/>
      <c r="E2596" s="61"/>
      <c r="F2596" s="38"/>
      <c r="G2596" s="33">
        <f t="shared" si="59"/>
        <v>0</v>
      </c>
    </row>
    <row r="2597" spans="2:7" ht="51">
      <c r="B2597" s="71" t="s">
        <v>1668</v>
      </c>
      <c r="C2597" s="138" t="s">
        <v>2651</v>
      </c>
      <c r="D2597" s="51"/>
      <c r="E2597" s="61"/>
      <c r="F2597" s="38"/>
      <c r="G2597" s="33">
        <f t="shared" si="59"/>
        <v>0</v>
      </c>
    </row>
    <row r="2598" spans="2:7">
      <c r="B2598" s="71"/>
      <c r="C2598" s="138"/>
      <c r="D2598" s="51"/>
      <c r="E2598" s="61"/>
      <c r="F2598" s="38"/>
      <c r="G2598" s="33">
        <f t="shared" si="59"/>
        <v>0</v>
      </c>
    </row>
    <row r="2599" spans="2:7">
      <c r="B2599" s="71" t="s">
        <v>2652</v>
      </c>
      <c r="C2599" s="138" t="s">
        <v>2653</v>
      </c>
      <c r="D2599" s="51" t="s">
        <v>140</v>
      </c>
      <c r="E2599" s="61">
        <v>3</v>
      </c>
      <c r="F2599" s="38"/>
      <c r="G2599" s="33">
        <f t="shared" si="59"/>
        <v>0</v>
      </c>
    </row>
    <row r="2600" spans="2:7">
      <c r="B2600" s="71"/>
      <c r="C2600" s="138"/>
      <c r="D2600" s="51"/>
      <c r="E2600" s="61"/>
      <c r="F2600" s="38"/>
      <c r="G2600" s="33">
        <f t="shared" si="59"/>
        <v>0</v>
      </c>
    </row>
    <row r="2601" spans="2:7" ht="38.25">
      <c r="B2601" s="71" t="s">
        <v>1670</v>
      </c>
      <c r="C2601" s="138" t="s">
        <v>2654</v>
      </c>
      <c r="D2601" s="51"/>
      <c r="E2601" s="61"/>
      <c r="F2601" s="38"/>
      <c r="G2601" s="33">
        <f t="shared" si="59"/>
        <v>0</v>
      </c>
    </row>
    <row r="2602" spans="2:7">
      <c r="B2602" s="71"/>
      <c r="C2602" s="138"/>
      <c r="D2602" s="51"/>
      <c r="E2602" s="61"/>
      <c r="F2602" s="38"/>
      <c r="G2602" s="33">
        <f t="shared" si="59"/>
        <v>0</v>
      </c>
    </row>
    <row r="2603" spans="2:7">
      <c r="B2603" s="71" t="s">
        <v>2655</v>
      </c>
      <c r="C2603" s="138" t="s">
        <v>2656</v>
      </c>
      <c r="D2603" s="51" t="s">
        <v>140</v>
      </c>
      <c r="E2603" s="61">
        <v>1</v>
      </c>
      <c r="F2603" s="38"/>
      <c r="G2603" s="33">
        <f t="shared" si="59"/>
        <v>0</v>
      </c>
    </row>
    <row r="2604" spans="2:7">
      <c r="B2604" s="71"/>
      <c r="C2604" s="138"/>
      <c r="D2604" s="51"/>
      <c r="E2604" s="61"/>
      <c r="F2604" s="38"/>
      <c r="G2604" s="33">
        <f t="shared" si="59"/>
        <v>0</v>
      </c>
    </row>
    <row r="2605" spans="2:7">
      <c r="B2605" s="71">
        <v>0</v>
      </c>
      <c r="C2605" s="138" t="s">
        <v>2657</v>
      </c>
      <c r="D2605" s="51"/>
      <c r="E2605" s="61"/>
      <c r="F2605" s="38"/>
      <c r="G2605" s="33">
        <f t="shared" si="59"/>
        <v>0</v>
      </c>
    </row>
    <row r="2606" spans="2:7">
      <c r="B2606" s="71"/>
      <c r="C2606" s="138"/>
      <c r="D2606" s="51"/>
      <c r="E2606" s="61"/>
      <c r="F2606" s="38"/>
      <c r="G2606" s="33">
        <f t="shared" si="59"/>
        <v>0</v>
      </c>
    </row>
    <row r="2607" spans="2:7">
      <c r="B2607" s="71">
        <v>3</v>
      </c>
      <c r="C2607" s="138" t="s">
        <v>2646</v>
      </c>
      <c r="D2607" s="51"/>
      <c r="E2607" s="61"/>
      <c r="F2607" s="38"/>
      <c r="G2607" s="33">
        <f t="shared" si="59"/>
        <v>0</v>
      </c>
    </row>
    <row r="2608" spans="2:7">
      <c r="B2608" s="71"/>
      <c r="C2608" s="138"/>
      <c r="D2608" s="51"/>
      <c r="E2608" s="61"/>
      <c r="F2608" s="38"/>
      <c r="G2608" s="33">
        <f t="shared" si="59"/>
        <v>0</v>
      </c>
    </row>
    <row r="2609" spans="2:7" ht="89.25">
      <c r="B2609" s="71" t="s">
        <v>1716</v>
      </c>
      <c r="C2609" s="138" t="s">
        <v>2685</v>
      </c>
      <c r="D2609" s="51"/>
      <c r="E2609" s="61"/>
      <c r="F2609" s="38"/>
      <c r="G2609" s="33">
        <f t="shared" si="59"/>
        <v>0</v>
      </c>
    </row>
    <row r="2610" spans="2:7">
      <c r="B2610" s="71"/>
      <c r="C2610" s="138"/>
      <c r="D2610" s="51"/>
      <c r="E2610" s="61"/>
      <c r="F2610" s="38"/>
      <c r="G2610" s="33">
        <f t="shared" si="59"/>
        <v>0</v>
      </c>
    </row>
    <row r="2611" spans="2:7">
      <c r="B2611" s="71" t="s">
        <v>61</v>
      </c>
      <c r="C2611" s="138" t="s">
        <v>2648</v>
      </c>
      <c r="D2611" s="51" t="s">
        <v>84</v>
      </c>
      <c r="E2611" s="61">
        <v>15</v>
      </c>
      <c r="F2611" s="38"/>
      <c r="G2611" s="33">
        <f t="shared" si="59"/>
        <v>0</v>
      </c>
    </row>
    <row r="2612" spans="2:7">
      <c r="B2612" s="71"/>
      <c r="C2612" s="138"/>
      <c r="D2612" s="51"/>
      <c r="E2612" s="61"/>
      <c r="F2612" s="38"/>
      <c r="G2612" s="33">
        <f t="shared" si="59"/>
        <v>0</v>
      </c>
    </row>
    <row r="2613" spans="2:7">
      <c r="B2613" s="71" t="s">
        <v>65</v>
      </c>
      <c r="C2613" s="138" t="s">
        <v>2649</v>
      </c>
      <c r="D2613" s="51" t="s">
        <v>84</v>
      </c>
      <c r="E2613" s="61">
        <v>20</v>
      </c>
      <c r="F2613" s="38"/>
      <c r="G2613" s="33">
        <f t="shared" si="59"/>
        <v>0</v>
      </c>
    </row>
    <row r="2614" spans="2:7">
      <c r="B2614" s="71"/>
      <c r="C2614" s="138"/>
      <c r="D2614" s="51"/>
      <c r="E2614" s="61"/>
      <c r="F2614" s="38"/>
      <c r="G2614" s="33">
        <f t="shared" si="59"/>
        <v>0</v>
      </c>
    </row>
    <row r="2615" spans="2:7" ht="76.5">
      <c r="B2615" s="71" t="s">
        <v>1718</v>
      </c>
      <c r="C2615" s="138" t="s">
        <v>2659</v>
      </c>
      <c r="D2615" s="51"/>
      <c r="E2615" s="61"/>
      <c r="F2615" s="38"/>
      <c r="G2615" s="33">
        <f t="shared" si="59"/>
        <v>0</v>
      </c>
    </row>
    <row r="2616" spans="2:7">
      <c r="B2616" s="71"/>
      <c r="C2616" s="138"/>
      <c r="D2616" s="51"/>
      <c r="E2616" s="61"/>
      <c r="F2616" s="38"/>
      <c r="G2616" s="33">
        <f t="shared" si="59"/>
        <v>0</v>
      </c>
    </row>
    <row r="2617" spans="2:7">
      <c r="B2617" s="71" t="s">
        <v>209</v>
      </c>
      <c r="C2617" s="138" t="s">
        <v>2648</v>
      </c>
      <c r="D2617" s="51" t="s">
        <v>84</v>
      </c>
      <c r="E2617" s="61">
        <v>15</v>
      </c>
      <c r="F2617" s="38"/>
      <c r="G2617" s="33">
        <f t="shared" si="59"/>
        <v>0</v>
      </c>
    </row>
    <row r="2618" spans="2:7">
      <c r="B2618" s="71"/>
      <c r="C2618" s="138"/>
      <c r="D2618" s="51"/>
      <c r="E2618" s="61"/>
      <c r="F2618" s="38"/>
      <c r="G2618" s="33">
        <f t="shared" si="59"/>
        <v>0</v>
      </c>
    </row>
    <row r="2619" spans="2:7">
      <c r="B2619" s="71" t="s">
        <v>211</v>
      </c>
      <c r="C2619" s="138" t="s">
        <v>2649</v>
      </c>
      <c r="D2619" s="51" t="s">
        <v>84</v>
      </c>
      <c r="E2619" s="61">
        <v>20</v>
      </c>
      <c r="F2619" s="38"/>
      <c r="G2619" s="33">
        <f t="shared" si="59"/>
        <v>0</v>
      </c>
    </row>
    <row r="2620" spans="2:7">
      <c r="B2620" s="71"/>
      <c r="C2620" s="138"/>
      <c r="D2620" s="51"/>
      <c r="E2620" s="61"/>
      <c r="F2620" s="38"/>
      <c r="G2620" s="33">
        <f t="shared" si="59"/>
        <v>0</v>
      </c>
    </row>
    <row r="2621" spans="2:7">
      <c r="B2621" s="71">
        <v>4</v>
      </c>
      <c r="C2621" s="138" t="s">
        <v>2650</v>
      </c>
      <c r="D2621" s="51"/>
      <c r="E2621" s="61"/>
      <c r="F2621" s="38"/>
      <c r="G2621" s="33">
        <f t="shared" si="59"/>
        <v>0</v>
      </c>
    </row>
    <row r="2622" spans="2:7">
      <c r="B2622" s="71"/>
      <c r="C2622" s="138"/>
      <c r="D2622" s="51"/>
      <c r="E2622" s="61"/>
      <c r="F2622" s="38"/>
      <c r="G2622" s="33">
        <f t="shared" si="59"/>
        <v>0</v>
      </c>
    </row>
    <row r="2623" spans="2:7" ht="25.5">
      <c r="B2623" s="71" t="s">
        <v>1793</v>
      </c>
      <c r="C2623" s="138" t="s">
        <v>2660</v>
      </c>
      <c r="D2623" s="51" t="s">
        <v>1898</v>
      </c>
      <c r="E2623" s="61">
        <v>1</v>
      </c>
      <c r="F2623" s="38"/>
      <c r="G2623" s="33">
        <f t="shared" si="59"/>
        <v>0</v>
      </c>
    </row>
    <row r="2624" spans="2:7">
      <c r="B2624" s="71"/>
      <c r="C2624" s="138"/>
      <c r="D2624" s="51"/>
      <c r="E2624" s="61"/>
      <c r="F2624" s="38"/>
      <c r="G2624" s="33">
        <f t="shared" si="59"/>
        <v>0</v>
      </c>
    </row>
    <row r="2625" spans="2:7">
      <c r="B2625" s="71"/>
      <c r="C2625" s="138"/>
      <c r="D2625" s="51"/>
      <c r="E2625" s="61"/>
      <c r="F2625" s="38"/>
      <c r="G2625" s="33">
        <f t="shared" si="59"/>
        <v>0</v>
      </c>
    </row>
    <row r="2626" spans="2:7">
      <c r="B2626" s="71">
        <v>0</v>
      </c>
      <c r="C2626" s="138" t="s">
        <v>2407</v>
      </c>
      <c r="D2626" s="51">
        <v>0</v>
      </c>
      <c r="E2626" s="61">
        <v>0</v>
      </c>
      <c r="F2626" s="38"/>
      <c r="G2626" s="33">
        <f t="shared" si="59"/>
        <v>0</v>
      </c>
    </row>
    <row r="2627" spans="2:7">
      <c r="B2627" s="71"/>
      <c r="C2627" s="138"/>
      <c r="D2627" s="51"/>
      <c r="E2627" s="61"/>
      <c r="F2627" s="38"/>
      <c r="G2627" s="33">
        <f t="shared" si="59"/>
        <v>0</v>
      </c>
    </row>
    <row r="2628" spans="2:7" ht="51">
      <c r="B2628" s="71">
        <v>5</v>
      </c>
      <c r="C2628" s="138" t="s">
        <v>2661</v>
      </c>
      <c r="D2628" s="51"/>
      <c r="E2628" s="61"/>
      <c r="F2628" s="38"/>
      <c r="G2628" s="33">
        <f t="shared" si="59"/>
        <v>0</v>
      </c>
    </row>
    <row r="2629" spans="2:7">
      <c r="B2629" s="71"/>
      <c r="C2629" s="138"/>
      <c r="D2629" s="51"/>
      <c r="E2629" s="61"/>
      <c r="F2629" s="38"/>
      <c r="G2629" s="33">
        <f t="shared" si="59"/>
        <v>0</v>
      </c>
    </row>
    <row r="2630" spans="2:7">
      <c r="B2630" s="71" t="s">
        <v>1823</v>
      </c>
      <c r="C2630" s="138" t="s">
        <v>2662</v>
      </c>
      <c r="D2630" s="51" t="s">
        <v>140</v>
      </c>
      <c r="E2630" s="61">
        <v>3</v>
      </c>
      <c r="F2630" s="38"/>
      <c r="G2630" s="33">
        <f t="shared" si="59"/>
        <v>0</v>
      </c>
    </row>
    <row r="2631" spans="2:7">
      <c r="B2631" s="71"/>
      <c r="C2631" s="138"/>
      <c r="D2631" s="51"/>
      <c r="E2631" s="61"/>
      <c r="F2631" s="38"/>
      <c r="G2631" s="33">
        <f t="shared" si="59"/>
        <v>0</v>
      </c>
    </row>
    <row r="2632" spans="2:7" ht="63.75">
      <c r="B2632" s="71">
        <v>6</v>
      </c>
      <c r="C2632" s="138" t="s">
        <v>2663</v>
      </c>
      <c r="D2632" s="51"/>
      <c r="E2632" s="61"/>
      <c r="F2632" s="38"/>
      <c r="G2632" s="33">
        <f t="shared" si="59"/>
        <v>0</v>
      </c>
    </row>
    <row r="2633" spans="2:7">
      <c r="B2633" s="71"/>
      <c r="C2633" s="138"/>
      <c r="D2633" s="51"/>
      <c r="E2633" s="61"/>
      <c r="F2633" s="38"/>
      <c r="G2633" s="33">
        <f t="shared" si="59"/>
        <v>0</v>
      </c>
    </row>
    <row r="2634" spans="2:7">
      <c r="B2634" s="71" t="s">
        <v>1829</v>
      </c>
      <c r="C2634" s="138" t="s">
        <v>2664</v>
      </c>
      <c r="D2634" s="51" t="s">
        <v>140</v>
      </c>
      <c r="E2634" s="61">
        <v>2</v>
      </c>
      <c r="F2634" s="38"/>
      <c r="G2634" s="33">
        <f t="shared" si="59"/>
        <v>0</v>
      </c>
    </row>
    <row r="2635" spans="2:7">
      <c r="B2635" s="71"/>
      <c r="C2635" s="138"/>
      <c r="D2635" s="51"/>
      <c r="E2635" s="61"/>
      <c r="F2635" s="38"/>
      <c r="G2635" s="33">
        <f t="shared" si="59"/>
        <v>0</v>
      </c>
    </row>
    <row r="2636" spans="2:7" ht="25.5">
      <c r="B2636" s="71">
        <v>7</v>
      </c>
      <c r="C2636" s="138" t="s">
        <v>2665</v>
      </c>
      <c r="D2636" s="51" t="s">
        <v>38</v>
      </c>
      <c r="E2636" s="61">
        <v>1</v>
      </c>
      <c r="F2636" s="38"/>
      <c r="G2636" s="33">
        <f t="shared" si="59"/>
        <v>0</v>
      </c>
    </row>
    <row r="2637" spans="2:7">
      <c r="B2637" s="71"/>
      <c r="C2637" s="138"/>
      <c r="D2637" s="51"/>
      <c r="E2637" s="61"/>
      <c r="F2637" s="38"/>
      <c r="G2637" s="33">
        <f t="shared" si="59"/>
        <v>0</v>
      </c>
    </row>
    <row r="2638" spans="2:7">
      <c r="B2638" s="71">
        <v>8</v>
      </c>
      <c r="C2638" s="138" t="s">
        <v>2666</v>
      </c>
      <c r="D2638" s="51" t="s">
        <v>38</v>
      </c>
      <c r="E2638" s="61">
        <v>1</v>
      </c>
      <c r="F2638" s="38"/>
      <c r="G2638" s="33">
        <f t="shared" si="59"/>
        <v>0</v>
      </c>
    </row>
    <row r="2639" spans="2:7">
      <c r="B2639" s="71"/>
      <c r="C2639" s="138"/>
      <c r="D2639" s="51"/>
      <c r="E2639" s="61"/>
      <c r="F2639" s="38"/>
      <c r="G2639" s="33">
        <f t="shared" si="59"/>
        <v>0</v>
      </c>
    </row>
    <row r="2640" spans="2:7">
      <c r="B2640" s="71">
        <v>9</v>
      </c>
      <c r="C2640" s="138" t="s">
        <v>2667</v>
      </c>
      <c r="D2640" s="51" t="s">
        <v>38</v>
      </c>
      <c r="E2640" s="61">
        <v>1</v>
      </c>
      <c r="F2640" s="38"/>
      <c r="G2640" s="33">
        <f>E2640*F2640</f>
        <v>0</v>
      </c>
    </row>
    <row r="2641" spans="2:7">
      <c r="B2641" s="71"/>
      <c r="C2641" s="138"/>
      <c r="D2641" s="51"/>
      <c r="E2641" s="61"/>
      <c r="F2641" s="38"/>
    </row>
    <row r="2642" spans="2:7">
      <c r="B2642" s="158"/>
      <c r="C2642" s="161" t="s">
        <v>2686</v>
      </c>
      <c r="D2642" s="159"/>
      <c r="E2642" s="160"/>
      <c r="F2642" s="129"/>
      <c r="G2642" s="163"/>
    </row>
    <row r="2643" spans="2:7" ht="38.25">
      <c r="B2643" s="71" t="s">
        <v>22</v>
      </c>
      <c r="C2643" s="138" t="s">
        <v>23</v>
      </c>
      <c r="D2643" s="51"/>
      <c r="E2643" s="61"/>
      <c r="F2643" s="38"/>
    </row>
    <row r="2644" spans="2:7">
      <c r="B2644" s="71"/>
      <c r="C2644" s="138"/>
      <c r="D2644" s="51"/>
      <c r="E2644" s="61"/>
      <c r="F2644" s="38"/>
    </row>
    <row r="2645" spans="2:7" ht="102">
      <c r="B2645" s="71" t="s">
        <v>24</v>
      </c>
      <c r="C2645" s="138" t="s">
        <v>25</v>
      </c>
      <c r="D2645" s="51"/>
      <c r="E2645" s="61"/>
      <c r="F2645" s="38"/>
    </row>
    <row r="2646" spans="2:7">
      <c r="B2646" s="71"/>
      <c r="C2646" s="138"/>
      <c r="D2646" s="51"/>
      <c r="E2646" s="61"/>
      <c r="F2646" s="38"/>
    </row>
    <row r="2647" spans="2:7" ht="25.5">
      <c r="B2647" s="71" t="s">
        <v>26</v>
      </c>
      <c r="C2647" s="138" t="s">
        <v>29</v>
      </c>
      <c r="D2647" s="51"/>
      <c r="E2647" s="61"/>
      <c r="F2647" s="38"/>
    </row>
    <row r="2648" spans="2:7">
      <c r="B2648" s="71"/>
      <c r="C2648" s="138"/>
      <c r="D2648" s="51"/>
      <c r="E2648" s="61"/>
      <c r="F2648" s="38"/>
    </row>
    <row r="2649" spans="2:7" ht="25.5">
      <c r="B2649" s="71" t="s">
        <v>28</v>
      </c>
      <c r="C2649" s="138" t="s">
        <v>2412</v>
      </c>
      <c r="D2649" s="51"/>
      <c r="E2649" s="61"/>
      <c r="F2649" s="38"/>
    </row>
    <row r="2650" spans="2:7">
      <c r="B2650" s="71"/>
      <c r="C2650" s="138"/>
      <c r="D2650" s="51"/>
      <c r="E2650" s="61"/>
      <c r="F2650" s="38"/>
    </row>
    <row r="2651" spans="2:7" ht="76.5">
      <c r="B2651" s="71" t="s">
        <v>30</v>
      </c>
      <c r="C2651" s="138" t="s">
        <v>2644</v>
      </c>
      <c r="D2651" s="51"/>
      <c r="E2651" s="61"/>
      <c r="F2651" s="38"/>
    </row>
    <row r="2652" spans="2:7">
      <c r="B2652" s="71"/>
      <c r="C2652" s="138"/>
      <c r="D2652" s="51"/>
      <c r="E2652" s="61"/>
      <c r="F2652" s="38"/>
    </row>
    <row r="2653" spans="2:7" ht="38.25">
      <c r="B2653" s="71" t="s">
        <v>2516</v>
      </c>
      <c r="C2653" s="138" t="s">
        <v>2670</v>
      </c>
      <c r="D2653" s="51"/>
      <c r="E2653" s="61"/>
      <c r="F2653" s="38"/>
    </row>
    <row r="2654" spans="2:7">
      <c r="B2654" s="71"/>
      <c r="C2654" s="138"/>
      <c r="D2654" s="51"/>
      <c r="E2654" s="61"/>
      <c r="F2654" s="38"/>
    </row>
    <row r="2655" spans="2:7">
      <c r="B2655" s="158">
        <v>0</v>
      </c>
      <c r="C2655" s="161" t="s">
        <v>2671</v>
      </c>
      <c r="D2655" s="53"/>
      <c r="E2655" s="60"/>
      <c r="F2655" s="129"/>
      <c r="G2655" s="164"/>
    </row>
    <row r="2656" spans="2:7">
      <c r="B2656" s="71"/>
      <c r="C2656" s="138"/>
      <c r="D2656" s="51"/>
      <c r="E2656" s="61"/>
      <c r="F2656" s="38"/>
    </row>
    <row r="2657" spans="2:7">
      <c r="B2657" s="71" t="s">
        <v>1663</v>
      </c>
      <c r="C2657" s="138" t="s">
        <v>2672</v>
      </c>
      <c r="D2657" s="51"/>
      <c r="E2657" s="61"/>
      <c r="F2657" s="38"/>
      <c r="G2657" s="33">
        <f t="shared" ref="G2657:G2684" si="60">E2657*F2657</f>
        <v>0</v>
      </c>
    </row>
    <row r="2658" spans="2:7">
      <c r="B2658" s="71"/>
      <c r="C2658" s="138"/>
      <c r="D2658" s="51"/>
      <c r="E2658" s="61"/>
      <c r="F2658" s="38"/>
      <c r="G2658" s="33">
        <f t="shared" si="60"/>
        <v>0</v>
      </c>
    </row>
    <row r="2659" spans="2:7" ht="89.25">
      <c r="B2659" s="71" t="s">
        <v>32</v>
      </c>
      <c r="C2659" s="138" t="s">
        <v>2687</v>
      </c>
      <c r="D2659" s="51"/>
      <c r="E2659" s="61"/>
      <c r="F2659" s="38"/>
      <c r="G2659" s="33">
        <f t="shared" si="60"/>
        <v>0</v>
      </c>
    </row>
    <row r="2660" spans="2:7">
      <c r="B2660" s="71"/>
      <c r="C2660" s="138"/>
      <c r="D2660" s="51"/>
      <c r="E2660" s="61"/>
      <c r="F2660" s="38"/>
      <c r="G2660" s="33">
        <f t="shared" si="60"/>
        <v>0</v>
      </c>
    </row>
    <row r="2661" spans="2:7">
      <c r="B2661" s="71" t="s">
        <v>34</v>
      </c>
      <c r="C2661" s="138" t="s">
        <v>2674</v>
      </c>
      <c r="D2661" s="51" t="s">
        <v>84</v>
      </c>
      <c r="E2661" s="61">
        <v>10</v>
      </c>
      <c r="F2661" s="38"/>
      <c r="G2661" s="33">
        <f t="shared" si="60"/>
        <v>0</v>
      </c>
    </row>
    <row r="2662" spans="2:7">
      <c r="B2662" s="71"/>
      <c r="C2662" s="138"/>
      <c r="D2662" s="51"/>
      <c r="E2662" s="61"/>
      <c r="F2662" s="38"/>
      <c r="G2662" s="33">
        <f t="shared" si="60"/>
        <v>0</v>
      </c>
    </row>
    <row r="2663" spans="2:7">
      <c r="B2663" s="71" t="s">
        <v>2431</v>
      </c>
      <c r="C2663" s="138" t="s">
        <v>2675</v>
      </c>
      <c r="D2663" s="51" t="s">
        <v>84</v>
      </c>
      <c r="E2663" s="61">
        <v>5</v>
      </c>
      <c r="F2663" s="38"/>
      <c r="G2663" s="33">
        <f t="shared" si="60"/>
        <v>0</v>
      </c>
    </row>
    <row r="2664" spans="2:7">
      <c r="B2664" s="71"/>
      <c r="C2664" s="138"/>
      <c r="D2664" s="51"/>
      <c r="E2664" s="61"/>
      <c r="F2664" s="38"/>
      <c r="G2664" s="33">
        <f t="shared" si="60"/>
        <v>0</v>
      </c>
    </row>
    <row r="2665" spans="2:7" ht="165.75">
      <c r="B2665" s="71" t="s">
        <v>39</v>
      </c>
      <c r="C2665" s="138" t="s">
        <v>2676</v>
      </c>
      <c r="D2665" s="51"/>
      <c r="E2665" s="61"/>
      <c r="F2665" s="38"/>
      <c r="G2665" s="33">
        <f t="shared" si="60"/>
        <v>0</v>
      </c>
    </row>
    <row r="2666" spans="2:7">
      <c r="B2666" s="71"/>
      <c r="C2666" s="138"/>
      <c r="D2666" s="51"/>
      <c r="E2666" s="61"/>
      <c r="F2666" s="38"/>
      <c r="G2666" s="33">
        <f t="shared" si="60"/>
        <v>0</v>
      </c>
    </row>
    <row r="2667" spans="2:7">
      <c r="B2667" s="71" t="s">
        <v>41</v>
      </c>
      <c r="C2667" s="138" t="s">
        <v>2677</v>
      </c>
      <c r="D2667" s="51" t="s">
        <v>140</v>
      </c>
      <c r="E2667" s="61">
        <v>1</v>
      </c>
      <c r="F2667" s="38"/>
      <c r="G2667" s="33">
        <f t="shared" si="60"/>
        <v>0</v>
      </c>
    </row>
    <row r="2668" spans="2:7">
      <c r="B2668" s="71"/>
      <c r="C2668" s="138"/>
      <c r="D2668" s="51"/>
      <c r="E2668" s="61"/>
      <c r="F2668" s="38"/>
      <c r="G2668" s="33">
        <f t="shared" si="60"/>
        <v>0</v>
      </c>
    </row>
    <row r="2669" spans="2:7">
      <c r="B2669" s="71">
        <v>2</v>
      </c>
      <c r="C2669" s="138" t="s">
        <v>2650</v>
      </c>
      <c r="D2669" s="51"/>
      <c r="E2669" s="61"/>
      <c r="F2669" s="38"/>
      <c r="G2669" s="33">
        <f t="shared" si="60"/>
        <v>0</v>
      </c>
    </row>
    <row r="2670" spans="2:7">
      <c r="B2670" s="71"/>
      <c r="C2670" s="138"/>
      <c r="D2670" s="51"/>
      <c r="E2670" s="61"/>
      <c r="F2670" s="38"/>
      <c r="G2670" s="33">
        <f t="shared" si="60"/>
        <v>0</v>
      </c>
    </row>
    <row r="2671" spans="2:7" ht="38.25">
      <c r="B2671" s="71" t="s">
        <v>1668</v>
      </c>
      <c r="C2671" s="138" t="s">
        <v>2678</v>
      </c>
      <c r="D2671" s="51" t="s">
        <v>140</v>
      </c>
      <c r="E2671" s="61">
        <v>1</v>
      </c>
      <c r="F2671" s="38"/>
      <c r="G2671" s="33">
        <f t="shared" si="60"/>
        <v>0</v>
      </c>
    </row>
    <row r="2672" spans="2:7">
      <c r="B2672" s="71"/>
      <c r="C2672" s="138"/>
      <c r="D2672" s="51"/>
      <c r="E2672" s="61"/>
      <c r="F2672" s="38"/>
      <c r="G2672" s="33">
        <f t="shared" si="60"/>
        <v>0</v>
      </c>
    </row>
    <row r="2673" spans="2:7" ht="38.25">
      <c r="B2673" s="71" t="s">
        <v>1670</v>
      </c>
      <c r="C2673" s="138" t="s">
        <v>2679</v>
      </c>
      <c r="D2673" s="51"/>
      <c r="E2673" s="61"/>
      <c r="F2673" s="38"/>
      <c r="G2673" s="33">
        <f t="shared" si="60"/>
        <v>0</v>
      </c>
    </row>
    <row r="2674" spans="2:7">
      <c r="B2674" s="71"/>
      <c r="C2674" s="138"/>
      <c r="D2674" s="51"/>
      <c r="E2674" s="61"/>
      <c r="F2674" s="38"/>
      <c r="G2674" s="33">
        <f t="shared" si="60"/>
        <v>0</v>
      </c>
    </row>
    <row r="2675" spans="2:7">
      <c r="B2675" s="71" t="s">
        <v>2655</v>
      </c>
      <c r="C2675" s="138" t="s">
        <v>2680</v>
      </c>
      <c r="D2675" s="51" t="s">
        <v>140</v>
      </c>
      <c r="E2675" s="61">
        <v>1</v>
      </c>
      <c r="F2675" s="38"/>
      <c r="G2675" s="33">
        <f t="shared" si="60"/>
        <v>0</v>
      </c>
    </row>
    <row r="2676" spans="2:7">
      <c r="B2676" s="71"/>
      <c r="C2676" s="138"/>
      <c r="D2676" s="51"/>
      <c r="E2676" s="61"/>
      <c r="F2676" s="38"/>
      <c r="G2676" s="33">
        <f t="shared" si="60"/>
        <v>0</v>
      </c>
    </row>
    <row r="2677" spans="2:7" ht="38.25">
      <c r="B2677" s="71" t="s">
        <v>1672</v>
      </c>
      <c r="C2677" s="138" t="s">
        <v>2681</v>
      </c>
      <c r="D2677" s="51" t="s">
        <v>140</v>
      </c>
      <c r="E2677" s="61">
        <v>1</v>
      </c>
      <c r="F2677" s="38"/>
      <c r="G2677" s="33">
        <f t="shared" si="60"/>
        <v>0</v>
      </c>
    </row>
    <row r="2678" spans="2:7">
      <c r="B2678" s="71"/>
      <c r="C2678" s="138"/>
      <c r="D2678" s="51"/>
      <c r="E2678" s="61"/>
      <c r="F2678" s="38"/>
      <c r="G2678" s="33">
        <f t="shared" si="60"/>
        <v>0</v>
      </c>
    </row>
    <row r="2679" spans="2:7">
      <c r="B2679" s="71">
        <v>3</v>
      </c>
      <c r="C2679" s="138" t="s">
        <v>1840</v>
      </c>
      <c r="D2679" s="51"/>
      <c r="E2679" s="61"/>
      <c r="F2679" s="38"/>
      <c r="G2679" s="33">
        <f t="shared" si="60"/>
        <v>0</v>
      </c>
    </row>
    <row r="2680" spans="2:7">
      <c r="B2680" s="71"/>
      <c r="C2680" s="138"/>
      <c r="D2680" s="51"/>
      <c r="E2680" s="61"/>
      <c r="F2680" s="38"/>
      <c r="G2680" s="33">
        <f t="shared" si="60"/>
        <v>0</v>
      </c>
    </row>
    <row r="2681" spans="2:7" ht="25.5">
      <c r="B2681" s="71" t="s">
        <v>1716</v>
      </c>
      <c r="C2681" s="138" t="s">
        <v>2682</v>
      </c>
      <c r="D2681" s="51" t="s">
        <v>38</v>
      </c>
      <c r="E2681" s="61">
        <v>1</v>
      </c>
      <c r="F2681" s="38"/>
      <c r="G2681" s="33">
        <f t="shared" si="60"/>
        <v>0</v>
      </c>
    </row>
    <row r="2682" spans="2:7">
      <c r="B2682" s="71"/>
      <c r="C2682" s="138"/>
      <c r="D2682" s="51"/>
      <c r="E2682" s="61"/>
      <c r="F2682" s="38"/>
      <c r="G2682" s="33">
        <f t="shared" si="60"/>
        <v>0</v>
      </c>
    </row>
    <row r="2683" spans="2:7">
      <c r="B2683" s="71" t="s">
        <v>1718</v>
      </c>
      <c r="C2683" s="138" t="s">
        <v>2666</v>
      </c>
      <c r="D2683" s="51" t="s">
        <v>38</v>
      </c>
      <c r="E2683" s="61">
        <v>1</v>
      </c>
      <c r="F2683" s="38"/>
      <c r="G2683" s="33">
        <f t="shared" si="60"/>
        <v>0</v>
      </c>
    </row>
    <row r="2684" spans="2:7">
      <c r="B2684" s="71"/>
      <c r="C2684" s="138"/>
      <c r="D2684" s="51"/>
      <c r="E2684" s="61"/>
      <c r="F2684" s="38"/>
      <c r="G2684" s="33">
        <f t="shared" si="60"/>
        <v>0</v>
      </c>
    </row>
    <row r="2685" spans="2:7">
      <c r="B2685" s="71" t="s">
        <v>1720</v>
      </c>
      <c r="C2685" s="138" t="s">
        <v>2667</v>
      </c>
      <c r="D2685" s="51" t="s">
        <v>38</v>
      </c>
      <c r="E2685" s="61">
        <v>1</v>
      </c>
      <c r="F2685" s="38"/>
      <c r="G2685" s="33">
        <f>E2685*F2685</f>
        <v>0</v>
      </c>
    </row>
    <row r="2686" spans="2:7">
      <c r="B2686" s="71"/>
      <c r="C2686" s="138"/>
      <c r="D2686" s="51"/>
      <c r="E2686" s="61"/>
      <c r="F2686" s="38"/>
    </row>
    <row r="2687" spans="2:7">
      <c r="B2687" s="165" t="s">
        <v>2691</v>
      </c>
      <c r="C2687" s="161"/>
      <c r="D2687" s="53"/>
      <c r="E2687" s="60"/>
      <c r="F2687" s="158"/>
      <c r="G2687" s="164">
        <f>SUM(G2573:G2685)</f>
        <v>0</v>
      </c>
    </row>
    <row r="2688" spans="2:7">
      <c r="B2688" s="71"/>
      <c r="C2688" s="138"/>
      <c r="D2688" s="51"/>
      <c r="E2688" s="61"/>
      <c r="F2688" s="38"/>
    </row>
    <row r="2689" spans="2:7">
      <c r="B2689" s="114" t="s">
        <v>2693</v>
      </c>
      <c r="C2689" s="52"/>
      <c r="D2689" s="15"/>
      <c r="E2689" s="122"/>
      <c r="F2689" s="54"/>
      <c r="G2689" s="58"/>
    </row>
    <row r="2690" spans="2:7" ht="38.25">
      <c r="B2690" s="116"/>
      <c r="C2690" s="55" t="s">
        <v>207</v>
      </c>
      <c r="D2690" s="11" t="s">
        <v>140</v>
      </c>
      <c r="E2690" s="112">
        <v>99</v>
      </c>
      <c r="F2690" s="13"/>
      <c r="G2690" s="113">
        <f>E2690*G2687</f>
        <v>0</v>
      </c>
    </row>
    <row r="2691" spans="2:7">
      <c r="B2691" s="71"/>
      <c r="C2691" s="138"/>
      <c r="D2691" s="51"/>
      <c r="E2691" s="61"/>
      <c r="F2691" s="38"/>
    </row>
    <row r="2692" spans="2:7">
      <c r="B2692" s="158"/>
      <c r="C2692" s="161" t="s">
        <v>2643</v>
      </c>
      <c r="D2692" s="53"/>
      <c r="E2692" s="60"/>
      <c r="F2692" s="158"/>
      <c r="G2692" s="164"/>
    </row>
    <row r="2693" spans="2:7">
      <c r="B2693" s="71"/>
      <c r="C2693" s="138"/>
      <c r="D2693" s="51"/>
      <c r="E2693" s="61"/>
      <c r="F2693" s="71"/>
    </row>
    <row r="2694" spans="2:7" ht="38.25">
      <c r="B2694" s="71" t="s">
        <v>22</v>
      </c>
      <c r="C2694" s="138" t="s">
        <v>23</v>
      </c>
      <c r="D2694" s="51"/>
      <c r="E2694" s="61"/>
      <c r="F2694" s="71"/>
    </row>
    <row r="2695" spans="2:7">
      <c r="B2695" s="71"/>
      <c r="C2695" s="138"/>
      <c r="D2695" s="51"/>
      <c r="E2695" s="61"/>
      <c r="F2695" s="71"/>
    </row>
    <row r="2696" spans="2:7" ht="102">
      <c r="B2696" s="71" t="s">
        <v>24</v>
      </c>
      <c r="C2696" s="138" t="s">
        <v>25</v>
      </c>
      <c r="D2696" s="51"/>
      <c r="E2696" s="61"/>
      <c r="F2696" s="71"/>
    </row>
    <row r="2697" spans="2:7">
      <c r="B2697" s="71"/>
      <c r="C2697" s="138"/>
      <c r="D2697" s="51"/>
      <c r="E2697" s="61"/>
      <c r="F2697" s="71"/>
    </row>
    <row r="2698" spans="2:7" ht="25.5">
      <c r="B2698" s="71" t="s">
        <v>26</v>
      </c>
      <c r="C2698" s="138" t="s">
        <v>29</v>
      </c>
      <c r="D2698" s="51"/>
      <c r="E2698" s="61"/>
      <c r="F2698" s="71"/>
    </row>
    <row r="2699" spans="2:7">
      <c r="B2699" s="71"/>
      <c r="C2699" s="138"/>
      <c r="D2699" s="51"/>
      <c r="E2699" s="61"/>
      <c r="F2699" s="71"/>
    </row>
    <row r="2700" spans="2:7" ht="25.5">
      <c r="B2700" s="71" t="s">
        <v>28</v>
      </c>
      <c r="C2700" s="138" t="s">
        <v>2412</v>
      </c>
      <c r="D2700" s="51"/>
      <c r="E2700" s="61"/>
      <c r="F2700" s="71"/>
    </row>
    <row r="2701" spans="2:7">
      <c r="B2701" s="71"/>
      <c r="C2701" s="138"/>
      <c r="D2701" s="51"/>
      <c r="E2701" s="61"/>
      <c r="F2701" s="71"/>
    </row>
    <row r="2702" spans="2:7" ht="76.5">
      <c r="B2702" s="71" t="s">
        <v>30</v>
      </c>
      <c r="C2702" s="138" t="s">
        <v>2644</v>
      </c>
      <c r="D2702" s="51"/>
      <c r="E2702" s="61"/>
      <c r="F2702" s="71"/>
    </row>
    <row r="2703" spans="2:7">
      <c r="B2703" s="71"/>
      <c r="C2703" s="138"/>
      <c r="D2703" s="51"/>
      <c r="E2703" s="61"/>
      <c r="F2703" s="71"/>
    </row>
    <row r="2704" spans="2:7">
      <c r="B2704" s="158">
        <v>0</v>
      </c>
      <c r="C2704" s="161" t="s">
        <v>2690</v>
      </c>
      <c r="D2704" s="53"/>
      <c r="E2704" s="60"/>
      <c r="F2704" s="158"/>
      <c r="G2704" s="164"/>
    </row>
    <row r="2705" spans="2:7">
      <c r="B2705" s="71"/>
      <c r="C2705" s="138"/>
      <c r="D2705" s="51"/>
      <c r="E2705" s="61"/>
      <c r="F2705" s="71"/>
    </row>
    <row r="2706" spans="2:7">
      <c r="B2706" s="71">
        <v>1</v>
      </c>
      <c r="C2706" s="138" t="s">
        <v>2646</v>
      </c>
      <c r="D2706" s="51"/>
      <c r="E2706" s="61"/>
      <c r="F2706" s="71"/>
      <c r="G2706" s="33">
        <f t="shared" ref="G2706:G2757" si="61">E2706*F2706</f>
        <v>0</v>
      </c>
    </row>
    <row r="2707" spans="2:7">
      <c r="B2707" s="71"/>
      <c r="C2707" s="138"/>
      <c r="D2707" s="51"/>
      <c r="E2707" s="61"/>
      <c r="F2707" s="71"/>
      <c r="G2707" s="33">
        <f t="shared" si="61"/>
        <v>0</v>
      </c>
    </row>
    <row r="2708" spans="2:7" ht="76.5">
      <c r="B2708" s="71" t="s">
        <v>32</v>
      </c>
      <c r="C2708" s="138" t="s">
        <v>2647</v>
      </c>
      <c r="D2708" s="51"/>
      <c r="E2708" s="61"/>
      <c r="F2708" s="71"/>
      <c r="G2708" s="33">
        <f t="shared" si="61"/>
        <v>0</v>
      </c>
    </row>
    <row r="2709" spans="2:7">
      <c r="B2709" s="71"/>
      <c r="C2709" s="138"/>
      <c r="D2709" s="51"/>
      <c r="E2709" s="61"/>
      <c r="F2709" s="71"/>
      <c r="G2709" s="33">
        <f t="shared" si="61"/>
        <v>0</v>
      </c>
    </row>
    <row r="2710" spans="2:7">
      <c r="B2710" s="71" t="s">
        <v>34</v>
      </c>
      <c r="C2710" s="138" t="s">
        <v>2648</v>
      </c>
      <c r="D2710" s="51" t="s">
        <v>84</v>
      </c>
      <c r="E2710" s="61">
        <v>25</v>
      </c>
      <c r="F2710" s="71"/>
      <c r="G2710" s="33">
        <f t="shared" si="61"/>
        <v>0</v>
      </c>
    </row>
    <row r="2711" spans="2:7">
      <c r="B2711" s="71"/>
      <c r="C2711" s="138"/>
      <c r="D2711" s="51"/>
      <c r="E2711" s="61"/>
      <c r="F2711" s="71"/>
      <c r="G2711" s="33">
        <f t="shared" si="61"/>
        <v>0</v>
      </c>
    </row>
    <row r="2712" spans="2:7">
      <c r="B2712" s="71" t="s">
        <v>2424</v>
      </c>
      <c r="C2712" s="138" t="s">
        <v>2649</v>
      </c>
      <c r="D2712" s="51" t="s">
        <v>84</v>
      </c>
      <c r="E2712" s="61">
        <v>25</v>
      </c>
      <c r="F2712" s="71"/>
      <c r="G2712" s="33">
        <f t="shared" si="61"/>
        <v>0</v>
      </c>
    </row>
    <row r="2713" spans="2:7">
      <c r="B2713" s="71"/>
      <c r="C2713" s="138"/>
      <c r="D2713" s="51"/>
      <c r="E2713" s="61"/>
      <c r="F2713" s="71"/>
      <c r="G2713" s="33">
        <f t="shared" si="61"/>
        <v>0</v>
      </c>
    </row>
    <row r="2714" spans="2:7">
      <c r="B2714" s="71">
        <v>2</v>
      </c>
      <c r="C2714" s="138" t="s">
        <v>2650</v>
      </c>
      <c r="D2714" s="51"/>
      <c r="E2714" s="61"/>
      <c r="F2714" s="71"/>
      <c r="G2714" s="33">
        <f t="shared" si="61"/>
        <v>0</v>
      </c>
    </row>
    <row r="2715" spans="2:7">
      <c r="B2715" s="71"/>
      <c r="C2715" s="138"/>
      <c r="D2715" s="51"/>
      <c r="E2715" s="61"/>
      <c r="F2715" s="71"/>
      <c r="G2715" s="33">
        <f t="shared" si="61"/>
        <v>0</v>
      </c>
    </row>
    <row r="2716" spans="2:7" ht="51">
      <c r="B2716" s="71" t="s">
        <v>1668</v>
      </c>
      <c r="C2716" s="138" t="s">
        <v>2651</v>
      </c>
      <c r="D2716" s="51"/>
      <c r="E2716" s="61"/>
      <c r="F2716" s="71"/>
      <c r="G2716" s="33">
        <f t="shared" si="61"/>
        <v>0</v>
      </c>
    </row>
    <row r="2717" spans="2:7">
      <c r="B2717" s="71"/>
      <c r="C2717" s="138"/>
      <c r="D2717" s="51"/>
      <c r="E2717" s="61"/>
      <c r="F2717" s="71"/>
      <c r="G2717" s="33">
        <f t="shared" si="61"/>
        <v>0</v>
      </c>
    </row>
    <row r="2718" spans="2:7">
      <c r="B2718" s="71" t="s">
        <v>2652</v>
      </c>
      <c r="C2718" s="138" t="s">
        <v>2653</v>
      </c>
      <c r="D2718" s="51" t="s">
        <v>140</v>
      </c>
      <c r="E2718" s="61">
        <v>5</v>
      </c>
      <c r="F2718" s="71"/>
      <c r="G2718" s="33">
        <f t="shared" si="61"/>
        <v>0</v>
      </c>
    </row>
    <row r="2719" spans="2:7">
      <c r="B2719" s="71"/>
      <c r="C2719" s="138"/>
      <c r="D2719" s="51"/>
      <c r="E2719" s="61"/>
      <c r="F2719" s="71"/>
      <c r="G2719" s="33">
        <f t="shared" si="61"/>
        <v>0</v>
      </c>
    </row>
    <row r="2720" spans="2:7" ht="38.25">
      <c r="B2720" s="71" t="s">
        <v>1670</v>
      </c>
      <c r="C2720" s="138" t="s">
        <v>2654</v>
      </c>
      <c r="D2720" s="51"/>
      <c r="E2720" s="61"/>
      <c r="F2720" s="71"/>
      <c r="G2720" s="33">
        <f t="shared" si="61"/>
        <v>0</v>
      </c>
    </row>
    <row r="2721" spans="2:7">
      <c r="B2721" s="71"/>
      <c r="C2721" s="138"/>
      <c r="D2721" s="51"/>
      <c r="E2721" s="61"/>
      <c r="F2721" s="71"/>
      <c r="G2721" s="33">
        <f t="shared" si="61"/>
        <v>0</v>
      </c>
    </row>
    <row r="2722" spans="2:7">
      <c r="B2722" s="71" t="s">
        <v>2655</v>
      </c>
      <c r="C2722" s="138" t="s">
        <v>2656</v>
      </c>
      <c r="D2722" s="51" t="s">
        <v>140</v>
      </c>
      <c r="E2722" s="61">
        <v>1</v>
      </c>
      <c r="F2722" s="71"/>
      <c r="G2722" s="33">
        <f t="shared" si="61"/>
        <v>0</v>
      </c>
    </row>
    <row r="2723" spans="2:7">
      <c r="B2723" s="71"/>
      <c r="C2723" s="138"/>
      <c r="D2723" s="51"/>
      <c r="E2723" s="61"/>
      <c r="F2723" s="71"/>
      <c r="G2723" s="33">
        <f t="shared" si="61"/>
        <v>0</v>
      </c>
    </row>
    <row r="2724" spans="2:7">
      <c r="B2724" s="71">
        <v>0</v>
      </c>
      <c r="C2724" s="138" t="s">
        <v>2657</v>
      </c>
      <c r="D2724" s="51"/>
      <c r="E2724" s="61"/>
      <c r="F2724" s="71"/>
      <c r="G2724" s="33">
        <f t="shared" si="61"/>
        <v>0</v>
      </c>
    </row>
    <row r="2725" spans="2:7">
      <c r="B2725" s="71"/>
      <c r="C2725" s="138"/>
      <c r="D2725" s="51"/>
      <c r="E2725" s="61"/>
      <c r="F2725" s="71"/>
      <c r="G2725" s="33">
        <f t="shared" si="61"/>
        <v>0</v>
      </c>
    </row>
    <row r="2726" spans="2:7">
      <c r="B2726" s="71">
        <v>3</v>
      </c>
      <c r="C2726" s="138" t="s">
        <v>2646</v>
      </c>
      <c r="D2726" s="51"/>
      <c r="E2726" s="61"/>
      <c r="F2726" s="71"/>
      <c r="G2726" s="33">
        <f t="shared" si="61"/>
        <v>0</v>
      </c>
    </row>
    <row r="2727" spans="2:7">
      <c r="B2727" s="71"/>
      <c r="C2727" s="138"/>
      <c r="D2727" s="51"/>
      <c r="E2727" s="61"/>
      <c r="F2727" s="71"/>
      <c r="G2727" s="33">
        <f t="shared" si="61"/>
        <v>0</v>
      </c>
    </row>
    <row r="2728" spans="2:7" ht="76.5">
      <c r="B2728" s="71" t="s">
        <v>1716</v>
      </c>
      <c r="C2728" s="138" t="s">
        <v>2658</v>
      </c>
      <c r="D2728" s="51"/>
      <c r="E2728" s="61"/>
      <c r="F2728" s="71"/>
      <c r="G2728" s="33">
        <f t="shared" si="61"/>
        <v>0</v>
      </c>
    </row>
    <row r="2729" spans="2:7">
      <c r="B2729" s="71"/>
      <c r="C2729" s="138"/>
      <c r="D2729" s="51"/>
      <c r="E2729" s="61"/>
      <c r="F2729" s="71"/>
      <c r="G2729" s="33">
        <f t="shared" si="61"/>
        <v>0</v>
      </c>
    </row>
    <row r="2730" spans="2:7">
      <c r="B2730" s="71" t="s">
        <v>61</v>
      </c>
      <c r="C2730" s="138" t="s">
        <v>2648</v>
      </c>
      <c r="D2730" s="51" t="s">
        <v>84</v>
      </c>
      <c r="E2730" s="61">
        <v>20</v>
      </c>
      <c r="F2730" s="71"/>
      <c r="G2730" s="33">
        <f t="shared" si="61"/>
        <v>0</v>
      </c>
    </row>
    <row r="2731" spans="2:7">
      <c r="B2731" s="71"/>
      <c r="C2731" s="138"/>
      <c r="D2731" s="51"/>
      <c r="E2731" s="61"/>
      <c r="F2731" s="71"/>
      <c r="G2731" s="33">
        <f t="shared" si="61"/>
        <v>0</v>
      </c>
    </row>
    <row r="2732" spans="2:7">
      <c r="B2732" s="71" t="s">
        <v>65</v>
      </c>
      <c r="C2732" s="138" t="s">
        <v>2649</v>
      </c>
      <c r="D2732" s="51" t="s">
        <v>84</v>
      </c>
      <c r="E2732" s="61">
        <v>25</v>
      </c>
      <c r="F2732" s="71"/>
      <c r="G2732" s="33">
        <f t="shared" si="61"/>
        <v>0</v>
      </c>
    </row>
    <row r="2733" spans="2:7">
      <c r="B2733" s="71"/>
      <c r="C2733" s="138"/>
      <c r="D2733" s="51"/>
      <c r="E2733" s="61"/>
      <c r="F2733" s="71"/>
      <c r="G2733" s="33">
        <f t="shared" si="61"/>
        <v>0</v>
      </c>
    </row>
    <row r="2734" spans="2:7" ht="76.5">
      <c r="B2734" s="71" t="s">
        <v>1718</v>
      </c>
      <c r="C2734" s="138" t="s">
        <v>2659</v>
      </c>
      <c r="D2734" s="51"/>
      <c r="E2734" s="61"/>
      <c r="F2734" s="71"/>
      <c r="G2734" s="33">
        <f t="shared" si="61"/>
        <v>0</v>
      </c>
    </row>
    <row r="2735" spans="2:7">
      <c r="B2735" s="71"/>
      <c r="C2735" s="138"/>
      <c r="D2735" s="51"/>
      <c r="E2735" s="61"/>
      <c r="F2735" s="71"/>
      <c r="G2735" s="33">
        <f t="shared" si="61"/>
        <v>0</v>
      </c>
    </row>
    <row r="2736" spans="2:7">
      <c r="B2736" s="71" t="s">
        <v>209</v>
      </c>
      <c r="C2736" s="138" t="s">
        <v>2648</v>
      </c>
      <c r="D2736" s="51" t="s">
        <v>84</v>
      </c>
      <c r="E2736" s="61">
        <v>20</v>
      </c>
      <c r="F2736" s="71"/>
      <c r="G2736" s="33">
        <f t="shared" si="61"/>
        <v>0</v>
      </c>
    </row>
    <row r="2737" spans="2:7">
      <c r="B2737" s="71"/>
      <c r="C2737" s="138"/>
      <c r="D2737" s="51"/>
      <c r="E2737" s="61"/>
      <c r="F2737" s="71"/>
      <c r="G2737" s="33">
        <f t="shared" si="61"/>
        <v>0</v>
      </c>
    </row>
    <row r="2738" spans="2:7">
      <c r="B2738" s="71" t="s">
        <v>211</v>
      </c>
      <c r="C2738" s="138" t="s">
        <v>2649</v>
      </c>
      <c r="D2738" s="51" t="s">
        <v>84</v>
      </c>
      <c r="E2738" s="61">
        <v>25</v>
      </c>
      <c r="F2738" s="71"/>
      <c r="G2738" s="33">
        <f t="shared" si="61"/>
        <v>0</v>
      </c>
    </row>
    <row r="2739" spans="2:7">
      <c r="B2739" s="71"/>
      <c r="C2739" s="138"/>
      <c r="D2739" s="51"/>
      <c r="E2739" s="61"/>
      <c r="F2739" s="71"/>
      <c r="G2739" s="33">
        <f t="shared" si="61"/>
        <v>0</v>
      </c>
    </row>
    <row r="2740" spans="2:7">
      <c r="B2740" s="71">
        <v>4</v>
      </c>
      <c r="C2740" s="138" t="s">
        <v>2650</v>
      </c>
      <c r="D2740" s="51"/>
      <c r="E2740" s="61"/>
      <c r="F2740" s="71"/>
      <c r="G2740" s="33">
        <f t="shared" si="61"/>
        <v>0</v>
      </c>
    </row>
    <row r="2741" spans="2:7">
      <c r="B2741" s="71"/>
      <c r="C2741" s="138"/>
      <c r="D2741" s="51"/>
      <c r="E2741" s="61"/>
      <c r="F2741" s="71"/>
      <c r="G2741" s="33">
        <f t="shared" si="61"/>
        <v>0</v>
      </c>
    </row>
    <row r="2742" spans="2:7" ht="25.5">
      <c r="B2742" s="71" t="s">
        <v>1793</v>
      </c>
      <c r="C2742" s="138" t="s">
        <v>2660</v>
      </c>
      <c r="D2742" s="51" t="s">
        <v>1898</v>
      </c>
      <c r="E2742" s="61">
        <v>1</v>
      </c>
      <c r="F2742" s="71"/>
      <c r="G2742" s="33">
        <f t="shared" si="61"/>
        <v>0</v>
      </c>
    </row>
    <row r="2743" spans="2:7">
      <c r="B2743" s="71"/>
      <c r="C2743" s="138"/>
      <c r="D2743" s="51"/>
      <c r="E2743" s="61"/>
      <c r="F2743" s="71"/>
      <c r="G2743" s="33">
        <f t="shared" si="61"/>
        <v>0</v>
      </c>
    </row>
    <row r="2744" spans="2:7">
      <c r="B2744" s="71">
        <v>0</v>
      </c>
      <c r="C2744" s="138" t="s">
        <v>2407</v>
      </c>
      <c r="D2744" s="51"/>
      <c r="E2744" s="61"/>
      <c r="F2744" s="71"/>
      <c r="G2744" s="33">
        <f t="shared" si="61"/>
        <v>0</v>
      </c>
    </row>
    <row r="2745" spans="2:7">
      <c r="B2745" s="71"/>
      <c r="C2745" s="138"/>
      <c r="D2745" s="51"/>
      <c r="E2745" s="61"/>
      <c r="F2745" s="71"/>
      <c r="G2745" s="33">
        <f t="shared" si="61"/>
        <v>0</v>
      </c>
    </row>
    <row r="2746" spans="2:7" ht="51">
      <c r="B2746" s="71">
        <v>5</v>
      </c>
      <c r="C2746" s="138" t="s">
        <v>2661</v>
      </c>
      <c r="D2746" s="51"/>
      <c r="E2746" s="61"/>
      <c r="F2746" s="71"/>
      <c r="G2746" s="33">
        <f t="shared" si="61"/>
        <v>0</v>
      </c>
    </row>
    <row r="2747" spans="2:7">
      <c r="B2747" s="71"/>
      <c r="C2747" s="138"/>
      <c r="D2747" s="51"/>
      <c r="E2747" s="61"/>
      <c r="F2747" s="71"/>
      <c r="G2747" s="33">
        <f t="shared" si="61"/>
        <v>0</v>
      </c>
    </row>
    <row r="2748" spans="2:7">
      <c r="B2748" s="71" t="s">
        <v>1823</v>
      </c>
      <c r="C2748" s="138" t="s">
        <v>2662</v>
      </c>
      <c r="D2748" s="51" t="s">
        <v>140</v>
      </c>
      <c r="E2748" s="61">
        <v>3</v>
      </c>
      <c r="F2748" s="71"/>
      <c r="G2748" s="33">
        <f t="shared" si="61"/>
        <v>0</v>
      </c>
    </row>
    <row r="2749" spans="2:7">
      <c r="B2749" s="71"/>
      <c r="C2749" s="138"/>
      <c r="D2749" s="51"/>
      <c r="E2749" s="61"/>
      <c r="F2749" s="71"/>
      <c r="G2749" s="33">
        <f t="shared" si="61"/>
        <v>0</v>
      </c>
    </row>
    <row r="2750" spans="2:7" ht="63.75">
      <c r="B2750" s="71">
        <v>6</v>
      </c>
      <c r="C2750" s="138" t="s">
        <v>2663</v>
      </c>
      <c r="D2750" s="51"/>
      <c r="E2750" s="61"/>
      <c r="F2750" s="71"/>
      <c r="G2750" s="33">
        <f t="shared" si="61"/>
        <v>0</v>
      </c>
    </row>
    <row r="2751" spans="2:7">
      <c r="B2751" s="71"/>
      <c r="C2751" s="138"/>
      <c r="D2751" s="51"/>
      <c r="E2751" s="61"/>
      <c r="F2751" s="71"/>
      <c r="G2751" s="33">
        <f t="shared" si="61"/>
        <v>0</v>
      </c>
    </row>
    <row r="2752" spans="2:7">
      <c r="B2752" s="71" t="s">
        <v>1829</v>
      </c>
      <c r="C2752" s="138" t="s">
        <v>2664</v>
      </c>
      <c r="D2752" s="51" t="s">
        <v>140</v>
      </c>
      <c r="E2752" s="61">
        <v>2</v>
      </c>
      <c r="F2752" s="71"/>
      <c r="G2752" s="33">
        <f t="shared" si="61"/>
        <v>0</v>
      </c>
    </row>
    <row r="2753" spans="2:7">
      <c r="B2753" s="71"/>
      <c r="C2753" s="138"/>
      <c r="D2753" s="51"/>
      <c r="E2753" s="61"/>
      <c r="F2753" s="71"/>
      <c r="G2753" s="33">
        <f t="shared" si="61"/>
        <v>0</v>
      </c>
    </row>
    <row r="2754" spans="2:7" ht="25.5">
      <c r="B2754" s="71">
        <v>7</v>
      </c>
      <c r="C2754" s="138" t="s">
        <v>2665</v>
      </c>
      <c r="D2754" s="51" t="s">
        <v>38</v>
      </c>
      <c r="E2754" s="61">
        <v>1</v>
      </c>
      <c r="F2754" s="71"/>
      <c r="G2754" s="33">
        <f t="shared" si="61"/>
        <v>0</v>
      </c>
    </row>
    <row r="2755" spans="2:7">
      <c r="B2755" s="71"/>
      <c r="C2755" s="138"/>
      <c r="D2755" s="51"/>
      <c r="E2755" s="61"/>
      <c r="F2755" s="71"/>
      <c r="G2755" s="33">
        <f t="shared" si="61"/>
        <v>0</v>
      </c>
    </row>
    <row r="2756" spans="2:7">
      <c r="B2756" s="71">
        <v>8</v>
      </c>
      <c r="C2756" s="138" t="s">
        <v>2666</v>
      </c>
      <c r="D2756" s="51" t="s">
        <v>38</v>
      </c>
      <c r="E2756" s="61">
        <v>1</v>
      </c>
      <c r="F2756" s="71"/>
      <c r="G2756" s="33">
        <f t="shared" si="61"/>
        <v>0</v>
      </c>
    </row>
    <row r="2757" spans="2:7">
      <c r="B2757" s="71"/>
      <c r="C2757" s="138"/>
      <c r="D2757" s="51"/>
      <c r="E2757" s="61"/>
      <c r="F2757" s="71"/>
      <c r="G2757" s="33">
        <f t="shared" si="61"/>
        <v>0</v>
      </c>
    </row>
    <row r="2758" spans="2:7">
      <c r="B2758" s="71">
        <v>9</v>
      </c>
      <c r="C2758" s="138" t="s">
        <v>2667</v>
      </c>
      <c r="D2758" s="51" t="s">
        <v>38</v>
      </c>
      <c r="E2758" s="61">
        <v>1</v>
      </c>
      <c r="F2758" s="71"/>
      <c r="G2758" s="33">
        <f>E2758*F2758</f>
        <v>0</v>
      </c>
    </row>
    <row r="2759" spans="2:7">
      <c r="B2759" s="71"/>
      <c r="C2759" s="138"/>
      <c r="D2759" s="51"/>
      <c r="E2759" s="61"/>
      <c r="F2759" s="71"/>
    </row>
    <row r="2760" spans="2:7">
      <c r="B2760" s="158"/>
      <c r="C2760" s="161" t="s">
        <v>2669</v>
      </c>
      <c r="D2760" s="53"/>
      <c r="E2760" s="60"/>
      <c r="F2760" s="158"/>
      <c r="G2760" s="164"/>
    </row>
    <row r="2761" spans="2:7" ht="38.25">
      <c r="B2761" s="71" t="s">
        <v>22</v>
      </c>
      <c r="C2761" s="138" t="s">
        <v>23</v>
      </c>
      <c r="D2761" s="51"/>
      <c r="E2761" s="61"/>
      <c r="F2761" s="71"/>
    </row>
    <row r="2762" spans="2:7">
      <c r="B2762" s="71"/>
      <c r="C2762" s="138"/>
      <c r="D2762" s="51"/>
      <c r="E2762" s="61"/>
      <c r="F2762" s="71"/>
    </row>
    <row r="2763" spans="2:7" ht="102">
      <c r="B2763" s="71" t="s">
        <v>24</v>
      </c>
      <c r="C2763" s="138" t="s">
        <v>25</v>
      </c>
      <c r="D2763" s="51"/>
      <c r="E2763" s="61"/>
      <c r="F2763" s="71"/>
    </row>
    <row r="2764" spans="2:7">
      <c r="B2764" s="71"/>
      <c r="C2764" s="138"/>
      <c r="D2764" s="51"/>
      <c r="E2764" s="61"/>
      <c r="F2764" s="71"/>
    </row>
    <row r="2765" spans="2:7" ht="25.5">
      <c r="B2765" s="71" t="s">
        <v>26</v>
      </c>
      <c r="C2765" s="138" t="s">
        <v>29</v>
      </c>
      <c r="D2765" s="51"/>
      <c r="E2765" s="61"/>
      <c r="F2765" s="71"/>
    </row>
    <row r="2766" spans="2:7">
      <c r="B2766" s="71"/>
      <c r="C2766" s="138"/>
      <c r="D2766" s="51"/>
      <c r="E2766" s="61"/>
      <c r="F2766" s="71"/>
    </row>
    <row r="2767" spans="2:7" ht="25.5">
      <c r="B2767" s="71" t="s">
        <v>28</v>
      </c>
      <c r="C2767" s="138" t="s">
        <v>2412</v>
      </c>
      <c r="D2767" s="51"/>
      <c r="E2767" s="61"/>
      <c r="F2767" s="71"/>
    </row>
    <row r="2768" spans="2:7">
      <c r="B2768" s="71"/>
      <c r="C2768" s="138"/>
      <c r="D2768" s="51"/>
      <c r="E2768" s="61"/>
      <c r="F2768" s="71"/>
    </row>
    <row r="2769" spans="2:7" ht="76.5">
      <c r="B2769" s="71" t="s">
        <v>30</v>
      </c>
      <c r="C2769" s="138" t="s">
        <v>2644</v>
      </c>
      <c r="D2769" s="51"/>
      <c r="E2769" s="61"/>
      <c r="F2769" s="71"/>
    </row>
    <row r="2770" spans="2:7">
      <c r="B2770" s="71"/>
      <c r="C2770" s="138"/>
      <c r="D2770" s="51"/>
      <c r="E2770" s="61"/>
      <c r="F2770" s="71"/>
    </row>
    <row r="2771" spans="2:7" ht="38.25">
      <c r="B2771" s="71" t="s">
        <v>2516</v>
      </c>
      <c r="C2771" s="138" t="s">
        <v>2670</v>
      </c>
      <c r="D2771" s="51"/>
      <c r="E2771" s="61"/>
      <c r="F2771" s="71"/>
    </row>
    <row r="2772" spans="2:7">
      <c r="B2772" s="71"/>
      <c r="C2772" s="138"/>
      <c r="D2772" s="51"/>
      <c r="E2772" s="61"/>
      <c r="F2772" s="71"/>
    </row>
    <row r="2773" spans="2:7">
      <c r="B2773" s="158">
        <v>0</v>
      </c>
      <c r="C2773" s="161" t="s">
        <v>2690</v>
      </c>
      <c r="D2773" s="53"/>
      <c r="E2773" s="60"/>
      <c r="F2773" s="158"/>
      <c r="G2773" s="164"/>
    </row>
    <row r="2774" spans="2:7">
      <c r="B2774" s="71"/>
      <c r="C2774" s="138"/>
      <c r="D2774" s="51"/>
      <c r="E2774" s="61"/>
      <c r="F2774" s="71"/>
      <c r="G2774" s="33">
        <f t="shared" ref="G2774:G2802" si="62">E2774*F2774</f>
        <v>0</v>
      </c>
    </row>
    <row r="2775" spans="2:7">
      <c r="B2775" s="71" t="s">
        <v>1663</v>
      </c>
      <c r="C2775" s="138" t="s">
        <v>2672</v>
      </c>
      <c r="D2775" s="51"/>
      <c r="E2775" s="61"/>
      <c r="F2775" s="71"/>
      <c r="G2775" s="33">
        <f t="shared" si="62"/>
        <v>0</v>
      </c>
    </row>
    <row r="2776" spans="2:7">
      <c r="B2776" s="71"/>
      <c r="C2776" s="138"/>
      <c r="D2776" s="51"/>
      <c r="E2776" s="61"/>
      <c r="F2776" s="71"/>
      <c r="G2776" s="33">
        <f t="shared" si="62"/>
        <v>0</v>
      </c>
    </row>
    <row r="2777" spans="2:7" ht="76.5">
      <c r="B2777" s="71" t="s">
        <v>32</v>
      </c>
      <c r="C2777" s="138" t="s">
        <v>2673</v>
      </c>
      <c r="D2777" s="51"/>
      <c r="E2777" s="61"/>
      <c r="F2777" s="71"/>
      <c r="G2777" s="33">
        <f t="shared" si="62"/>
        <v>0</v>
      </c>
    </row>
    <row r="2778" spans="2:7">
      <c r="B2778" s="71"/>
      <c r="C2778" s="138"/>
      <c r="D2778" s="51"/>
      <c r="E2778" s="61"/>
      <c r="F2778" s="71"/>
      <c r="G2778" s="33">
        <f t="shared" si="62"/>
        <v>0</v>
      </c>
    </row>
    <row r="2779" spans="2:7">
      <c r="B2779" s="71" t="s">
        <v>34</v>
      </c>
      <c r="C2779" s="138" t="s">
        <v>2674</v>
      </c>
      <c r="D2779" s="51" t="s">
        <v>84</v>
      </c>
      <c r="E2779" s="61">
        <v>15</v>
      </c>
      <c r="F2779" s="71"/>
      <c r="G2779" s="33">
        <f t="shared" si="62"/>
        <v>0</v>
      </c>
    </row>
    <row r="2780" spans="2:7">
      <c r="B2780" s="71"/>
      <c r="C2780" s="138"/>
      <c r="D2780" s="51"/>
      <c r="E2780" s="61"/>
      <c r="F2780" s="71"/>
      <c r="G2780" s="33">
        <f t="shared" si="62"/>
        <v>0</v>
      </c>
    </row>
    <row r="2781" spans="2:7">
      <c r="B2781" s="71" t="s">
        <v>2431</v>
      </c>
      <c r="C2781" s="138" t="s">
        <v>2675</v>
      </c>
      <c r="D2781" s="51" t="s">
        <v>84</v>
      </c>
      <c r="E2781" s="61">
        <v>5</v>
      </c>
      <c r="F2781" s="71"/>
      <c r="G2781" s="33">
        <f t="shared" si="62"/>
        <v>0</v>
      </c>
    </row>
    <row r="2782" spans="2:7">
      <c r="B2782" s="71"/>
      <c r="C2782" s="138"/>
      <c r="D2782" s="51"/>
      <c r="E2782" s="61"/>
      <c r="F2782" s="71"/>
      <c r="G2782" s="33">
        <f t="shared" si="62"/>
        <v>0</v>
      </c>
    </row>
    <row r="2783" spans="2:7" ht="165.75">
      <c r="B2783" s="71" t="s">
        <v>39</v>
      </c>
      <c r="C2783" s="138" t="s">
        <v>2676</v>
      </c>
      <c r="D2783" s="51"/>
      <c r="E2783" s="61"/>
      <c r="F2783" s="71"/>
      <c r="G2783" s="33">
        <f t="shared" si="62"/>
        <v>0</v>
      </c>
    </row>
    <row r="2784" spans="2:7">
      <c r="B2784" s="71"/>
      <c r="C2784" s="138"/>
      <c r="D2784" s="51"/>
      <c r="E2784" s="61"/>
      <c r="F2784" s="71"/>
      <c r="G2784" s="33">
        <f t="shared" si="62"/>
        <v>0</v>
      </c>
    </row>
    <row r="2785" spans="2:7">
      <c r="B2785" s="71" t="s">
        <v>41</v>
      </c>
      <c r="C2785" s="138" t="s">
        <v>2677</v>
      </c>
      <c r="D2785" s="51" t="s">
        <v>140</v>
      </c>
      <c r="E2785" s="61">
        <v>1</v>
      </c>
      <c r="F2785" s="71"/>
      <c r="G2785" s="33">
        <f t="shared" si="62"/>
        <v>0</v>
      </c>
    </row>
    <row r="2786" spans="2:7">
      <c r="B2786" s="71"/>
      <c r="C2786" s="138"/>
      <c r="D2786" s="51"/>
      <c r="E2786" s="61"/>
      <c r="F2786" s="71"/>
      <c r="G2786" s="33">
        <f t="shared" si="62"/>
        <v>0</v>
      </c>
    </row>
    <row r="2787" spans="2:7">
      <c r="B2787" s="71">
        <v>2</v>
      </c>
      <c r="C2787" s="138" t="s">
        <v>2650</v>
      </c>
      <c r="D2787" s="51"/>
      <c r="E2787" s="61"/>
      <c r="F2787" s="71"/>
      <c r="G2787" s="33">
        <f t="shared" si="62"/>
        <v>0</v>
      </c>
    </row>
    <row r="2788" spans="2:7">
      <c r="B2788" s="71"/>
      <c r="C2788" s="138"/>
      <c r="D2788" s="51"/>
      <c r="E2788" s="61"/>
      <c r="F2788" s="71"/>
      <c r="G2788" s="33">
        <f t="shared" si="62"/>
        <v>0</v>
      </c>
    </row>
    <row r="2789" spans="2:7" ht="38.25">
      <c r="B2789" s="71" t="s">
        <v>1668</v>
      </c>
      <c r="C2789" s="138" t="s">
        <v>2678</v>
      </c>
      <c r="D2789" s="51" t="s">
        <v>140</v>
      </c>
      <c r="E2789" s="61">
        <v>1</v>
      </c>
      <c r="F2789" s="71"/>
      <c r="G2789" s="33">
        <f t="shared" si="62"/>
        <v>0</v>
      </c>
    </row>
    <row r="2790" spans="2:7">
      <c r="B2790" s="71"/>
      <c r="C2790" s="138"/>
      <c r="D2790" s="51"/>
      <c r="E2790" s="61"/>
      <c r="F2790" s="71"/>
      <c r="G2790" s="33">
        <f t="shared" si="62"/>
        <v>0</v>
      </c>
    </row>
    <row r="2791" spans="2:7" ht="38.25">
      <c r="B2791" s="71" t="s">
        <v>1670</v>
      </c>
      <c r="C2791" s="138" t="s">
        <v>2679</v>
      </c>
      <c r="D2791" s="51"/>
      <c r="E2791" s="61"/>
      <c r="F2791" s="71"/>
      <c r="G2791" s="33">
        <f t="shared" si="62"/>
        <v>0</v>
      </c>
    </row>
    <row r="2792" spans="2:7">
      <c r="B2792" s="71"/>
      <c r="C2792" s="138"/>
      <c r="D2792" s="51"/>
      <c r="E2792" s="61"/>
      <c r="F2792" s="71"/>
      <c r="G2792" s="33">
        <f t="shared" si="62"/>
        <v>0</v>
      </c>
    </row>
    <row r="2793" spans="2:7">
      <c r="B2793" s="71" t="s">
        <v>2655</v>
      </c>
      <c r="C2793" s="138" t="s">
        <v>2680</v>
      </c>
      <c r="D2793" s="51" t="s">
        <v>140</v>
      </c>
      <c r="E2793" s="61">
        <v>1</v>
      </c>
      <c r="F2793" s="71"/>
      <c r="G2793" s="33">
        <f t="shared" si="62"/>
        <v>0</v>
      </c>
    </row>
    <row r="2794" spans="2:7">
      <c r="B2794" s="71"/>
      <c r="C2794" s="138"/>
      <c r="D2794" s="51"/>
      <c r="E2794" s="61"/>
      <c r="F2794" s="71"/>
      <c r="G2794" s="33">
        <f t="shared" si="62"/>
        <v>0</v>
      </c>
    </row>
    <row r="2795" spans="2:7" ht="38.25">
      <c r="B2795" s="71" t="s">
        <v>1672</v>
      </c>
      <c r="C2795" s="138" t="s">
        <v>2681</v>
      </c>
      <c r="D2795" s="51" t="s">
        <v>140</v>
      </c>
      <c r="E2795" s="61">
        <v>1</v>
      </c>
      <c r="F2795" s="71"/>
      <c r="G2795" s="33">
        <f t="shared" si="62"/>
        <v>0</v>
      </c>
    </row>
    <row r="2796" spans="2:7">
      <c r="B2796" s="71"/>
      <c r="C2796" s="138"/>
      <c r="D2796" s="51"/>
      <c r="E2796" s="61"/>
      <c r="F2796" s="71"/>
      <c r="G2796" s="33">
        <f t="shared" si="62"/>
        <v>0</v>
      </c>
    </row>
    <row r="2797" spans="2:7">
      <c r="B2797" s="71">
        <v>3</v>
      </c>
      <c r="C2797" s="138" t="s">
        <v>1840</v>
      </c>
      <c r="D2797" s="51"/>
      <c r="E2797" s="61"/>
      <c r="F2797" s="71"/>
      <c r="G2797" s="33">
        <f t="shared" si="62"/>
        <v>0</v>
      </c>
    </row>
    <row r="2798" spans="2:7">
      <c r="B2798" s="71"/>
      <c r="C2798" s="138"/>
      <c r="D2798" s="51"/>
      <c r="E2798" s="61"/>
      <c r="F2798" s="71"/>
      <c r="G2798" s="33">
        <f t="shared" si="62"/>
        <v>0</v>
      </c>
    </row>
    <row r="2799" spans="2:7" ht="25.5">
      <c r="B2799" s="71" t="s">
        <v>1716</v>
      </c>
      <c r="C2799" s="138" t="s">
        <v>2682</v>
      </c>
      <c r="D2799" s="51" t="s">
        <v>38</v>
      </c>
      <c r="E2799" s="61">
        <v>1</v>
      </c>
      <c r="F2799" s="71"/>
      <c r="G2799" s="33">
        <f t="shared" si="62"/>
        <v>0</v>
      </c>
    </row>
    <row r="2800" spans="2:7">
      <c r="B2800" s="71"/>
      <c r="C2800" s="138"/>
      <c r="D2800" s="51"/>
      <c r="E2800" s="61"/>
      <c r="F2800" s="71"/>
      <c r="G2800" s="33">
        <f t="shared" si="62"/>
        <v>0</v>
      </c>
    </row>
    <row r="2801" spans="2:7">
      <c r="B2801" s="71" t="s">
        <v>1718</v>
      </c>
      <c r="C2801" s="138" t="s">
        <v>2666</v>
      </c>
      <c r="D2801" s="51" t="s">
        <v>38</v>
      </c>
      <c r="E2801" s="61">
        <v>1</v>
      </c>
      <c r="F2801" s="71"/>
      <c r="G2801" s="33">
        <f t="shared" si="62"/>
        <v>0</v>
      </c>
    </row>
    <row r="2802" spans="2:7">
      <c r="B2802" s="71"/>
      <c r="C2802" s="138"/>
      <c r="D2802" s="51"/>
      <c r="E2802" s="61"/>
      <c r="F2802" s="71"/>
      <c r="G2802" s="33">
        <f t="shared" si="62"/>
        <v>0</v>
      </c>
    </row>
    <row r="2803" spans="2:7">
      <c r="B2803" s="71" t="s">
        <v>1720</v>
      </c>
      <c r="C2803" s="138" t="s">
        <v>2667</v>
      </c>
      <c r="D2803" s="51" t="s">
        <v>38</v>
      </c>
      <c r="E2803" s="61">
        <v>1</v>
      </c>
      <c r="F2803" s="71"/>
      <c r="G2803" s="33">
        <f>E2803*F2803</f>
        <v>0</v>
      </c>
    </row>
    <row r="2804" spans="2:7">
      <c r="B2804" s="71"/>
      <c r="C2804" s="138"/>
      <c r="D2804" s="51"/>
      <c r="E2804" s="61"/>
      <c r="F2804" s="71"/>
    </row>
    <row r="2805" spans="2:7">
      <c r="B2805" s="165" t="s">
        <v>2692</v>
      </c>
      <c r="C2805" s="161"/>
      <c r="D2805" s="53"/>
      <c r="E2805" s="60"/>
      <c r="F2805" s="158"/>
      <c r="G2805" s="164">
        <f>SUM(G2692:G2803)</f>
        <v>0</v>
      </c>
    </row>
    <row r="2806" spans="2:7">
      <c r="B2806" s="71"/>
      <c r="C2806" s="138"/>
      <c r="D2806" s="51"/>
      <c r="E2806" s="61"/>
      <c r="F2806" s="71"/>
    </row>
    <row r="2807" spans="2:7">
      <c r="B2807" s="114" t="s">
        <v>2692</v>
      </c>
      <c r="C2807" s="166"/>
      <c r="D2807" s="15"/>
      <c r="E2807" s="122"/>
      <c r="F2807" s="54"/>
      <c r="G2807" s="58"/>
    </row>
    <row r="2808" spans="2:7" ht="38.25">
      <c r="B2808" s="116"/>
      <c r="C2808" s="55" t="s">
        <v>207</v>
      </c>
      <c r="D2808" s="11" t="s">
        <v>140</v>
      </c>
      <c r="E2808" s="167">
        <v>41</v>
      </c>
      <c r="F2808" s="13"/>
      <c r="G2808" s="113">
        <f>E2808*G2805</f>
        <v>0</v>
      </c>
    </row>
    <row r="2809" spans="2:7">
      <c r="B2809" s="71"/>
      <c r="C2809" s="138"/>
      <c r="D2809" s="51"/>
      <c r="E2809" s="61"/>
      <c r="F2809" s="71"/>
    </row>
    <row r="2810" spans="2:7">
      <c r="B2810" s="71"/>
      <c r="C2810" s="138"/>
      <c r="D2810" s="51"/>
      <c r="E2810" s="61"/>
      <c r="F2810" s="71"/>
    </row>
    <row r="2811" spans="2:7">
      <c r="B2811" s="71"/>
      <c r="C2811" s="138"/>
      <c r="D2811" s="51"/>
      <c r="E2811" s="61"/>
      <c r="F2811" s="71"/>
    </row>
    <row r="2812" spans="2:7">
      <c r="B2812" s="71"/>
      <c r="C2812" s="138"/>
      <c r="D2812" s="51"/>
      <c r="E2812" s="61"/>
      <c r="F2812" s="71"/>
    </row>
    <row r="2813" spans="2:7">
      <c r="B2813" s="71"/>
      <c r="C2813" s="138"/>
      <c r="D2813" s="51"/>
      <c r="E2813" s="61"/>
      <c r="F2813" s="71"/>
    </row>
    <row r="2814" spans="2:7">
      <c r="B2814" s="71"/>
      <c r="C2814" s="138"/>
      <c r="D2814" s="51"/>
      <c r="E2814" s="61"/>
      <c r="F2814" s="71"/>
    </row>
    <row r="2815" spans="2:7">
      <c r="B2815" s="71"/>
      <c r="C2815" s="138"/>
      <c r="D2815" s="51"/>
      <c r="E2815" s="61"/>
      <c r="F2815" s="71"/>
    </row>
    <row r="2816" spans="2:7">
      <c r="B2816" s="71"/>
      <c r="C2816" s="138"/>
      <c r="D2816" s="51"/>
      <c r="E2816" s="61"/>
      <c r="F2816" s="71"/>
    </row>
    <row r="2817" spans="2:6">
      <c r="B2817" s="71"/>
      <c r="C2817" s="138"/>
      <c r="D2817" s="51"/>
      <c r="E2817" s="61"/>
      <c r="F2817" s="71"/>
    </row>
    <row r="2818" spans="2:6">
      <c r="B2818" s="71"/>
      <c r="C2818" s="138"/>
      <c r="D2818" s="51"/>
      <c r="E2818" s="61"/>
      <c r="F2818" s="71"/>
    </row>
    <row r="2819" spans="2:6">
      <c r="B2819" s="71"/>
      <c r="C2819" s="138"/>
      <c r="D2819" s="51"/>
      <c r="E2819" s="61"/>
      <c r="F2819" s="71"/>
    </row>
    <row r="2820" spans="2:6">
      <c r="B2820" s="71"/>
      <c r="C2820" s="138"/>
      <c r="D2820" s="51"/>
      <c r="E2820" s="61"/>
      <c r="F2820" s="71"/>
    </row>
    <row r="2821" spans="2:6">
      <c r="B2821" s="71"/>
      <c r="C2821" s="138"/>
      <c r="D2821" s="51"/>
      <c r="E2821" s="61"/>
      <c r="F2821" s="71"/>
    </row>
    <row r="2822" spans="2:6">
      <c r="B2822" s="71"/>
      <c r="C2822" s="138"/>
      <c r="D2822" s="51"/>
      <c r="E2822" s="61"/>
      <c r="F2822" s="71"/>
    </row>
    <row r="2823" spans="2:6">
      <c r="B2823" s="71"/>
      <c r="C2823" s="138"/>
      <c r="D2823" s="51"/>
      <c r="E2823" s="61"/>
      <c r="F2823" s="71"/>
    </row>
    <row r="2824" spans="2:6">
      <c r="B2824" s="71"/>
      <c r="C2824" s="138"/>
      <c r="D2824" s="51"/>
      <c r="E2824" s="61"/>
      <c r="F2824" s="71"/>
    </row>
    <row r="2825" spans="2:6">
      <c r="B2825" s="71"/>
      <c r="C2825" s="138"/>
      <c r="D2825" s="51"/>
      <c r="E2825" s="61"/>
      <c r="F2825" s="71"/>
    </row>
    <row r="2826" spans="2:6">
      <c r="B2826" s="71"/>
      <c r="C2826" s="138"/>
      <c r="D2826" s="51"/>
      <c r="E2826" s="61"/>
      <c r="F2826" s="71"/>
    </row>
    <row r="2827" spans="2:6">
      <c r="B2827" s="71"/>
      <c r="C2827" s="138"/>
      <c r="D2827" s="51"/>
      <c r="E2827" s="61"/>
      <c r="F2827" s="71"/>
    </row>
    <row r="2828" spans="2:6">
      <c r="B2828" s="71"/>
      <c r="C2828" s="138"/>
      <c r="D2828" s="51"/>
      <c r="E2828" s="61"/>
      <c r="F2828" s="71"/>
    </row>
    <row r="2829" spans="2:6">
      <c r="B2829" s="71"/>
      <c r="C2829" s="138"/>
      <c r="D2829" s="51"/>
      <c r="E2829" s="61"/>
      <c r="F2829" s="71"/>
    </row>
    <row r="2830" spans="2:6">
      <c r="B2830" s="71"/>
      <c r="C2830" s="138"/>
      <c r="D2830" s="51"/>
      <c r="E2830" s="61"/>
      <c r="F2830" s="71"/>
    </row>
    <row r="2831" spans="2:6">
      <c r="B2831" s="71"/>
      <c r="C2831" s="138"/>
      <c r="D2831" s="51"/>
      <c r="E2831" s="61"/>
      <c r="F2831" s="71"/>
    </row>
    <row r="2832" spans="2:6">
      <c r="B2832" s="71"/>
      <c r="C2832" s="138"/>
      <c r="D2832" s="51"/>
      <c r="E2832" s="61"/>
      <c r="F2832" s="71"/>
    </row>
    <row r="2833" spans="2:6">
      <c r="B2833" s="71"/>
      <c r="C2833" s="138"/>
      <c r="D2833" s="51"/>
      <c r="E2833" s="61"/>
      <c r="F2833" s="71"/>
    </row>
    <row r="2834" spans="2:6">
      <c r="B2834" s="71"/>
      <c r="C2834" s="138"/>
      <c r="D2834" s="51"/>
      <c r="E2834" s="61"/>
      <c r="F2834" s="71"/>
    </row>
    <row r="2835" spans="2:6">
      <c r="B2835" s="71"/>
      <c r="C2835" s="138"/>
      <c r="D2835" s="51"/>
      <c r="E2835" s="61"/>
      <c r="F2835" s="71"/>
    </row>
    <row r="2836" spans="2:6">
      <c r="B2836" s="71"/>
      <c r="C2836" s="138"/>
      <c r="D2836" s="51"/>
      <c r="E2836" s="61"/>
      <c r="F2836" s="71"/>
    </row>
    <row r="2837" spans="2:6">
      <c r="B2837" s="71"/>
      <c r="C2837" s="138"/>
      <c r="D2837" s="51"/>
      <c r="E2837" s="61"/>
      <c r="F2837" s="71"/>
    </row>
    <row r="2838" spans="2:6">
      <c r="B2838" s="71"/>
      <c r="C2838" s="138"/>
      <c r="D2838" s="51"/>
      <c r="E2838" s="61"/>
      <c r="F2838" s="71"/>
    </row>
    <row r="2839" spans="2:6">
      <c r="B2839" s="71"/>
      <c r="C2839" s="138"/>
      <c r="D2839" s="51"/>
      <c r="E2839" s="61"/>
      <c r="F2839" s="71"/>
    </row>
    <row r="2840" spans="2:6">
      <c r="B2840" s="71"/>
      <c r="C2840" s="138"/>
      <c r="D2840" s="51"/>
      <c r="E2840" s="61"/>
      <c r="F2840" s="71"/>
    </row>
    <row r="2841" spans="2:6">
      <c r="B2841" s="71"/>
      <c r="C2841" s="138"/>
      <c r="D2841" s="51"/>
      <c r="E2841" s="61"/>
      <c r="F2841" s="71"/>
    </row>
    <row r="2842" spans="2:6">
      <c r="B2842" s="71"/>
      <c r="C2842" s="138"/>
      <c r="D2842" s="51"/>
      <c r="E2842" s="61"/>
      <c r="F2842" s="71"/>
    </row>
    <row r="2843" spans="2:6">
      <c r="B2843" s="71"/>
      <c r="C2843" s="138"/>
      <c r="D2843" s="51"/>
      <c r="E2843" s="61"/>
      <c r="F2843" s="71"/>
    </row>
    <row r="2844" spans="2:6">
      <c r="B2844" s="71"/>
      <c r="C2844" s="138"/>
      <c r="D2844" s="51"/>
      <c r="E2844" s="61"/>
      <c r="F2844" s="71"/>
    </row>
    <row r="2845" spans="2:6">
      <c r="B2845" s="71"/>
      <c r="C2845" s="138"/>
      <c r="D2845" s="51"/>
      <c r="E2845" s="61"/>
      <c r="F2845" s="71"/>
    </row>
  </sheetData>
  <mergeCells count="6">
    <mergeCell ref="B4:G4"/>
    <mergeCell ref="B1:G1"/>
    <mergeCell ref="C5:G5"/>
    <mergeCell ref="C6:G6"/>
    <mergeCell ref="B2:G2"/>
    <mergeCell ref="B3:G3"/>
  </mergeCells>
  <phoneticPr fontId="50" type="noConversion"/>
  <printOptions horizontalCentered="1"/>
  <pageMargins left="3.937007874015748E-2" right="0.19685039370078741" top="0.47244094488188981" bottom="0.70866141732283472" header="0.23622047244094491" footer="0.43307086614173229"/>
  <pageSetup paperSize="9" scale="75" orientation="portrait" r:id="rId1"/>
  <headerFooter alignWithMargins="0">
    <oddFooter>&amp;L&amp;9LPU - Lista de preços unitários; &amp;A - Aprovado a 04.04.2017.Rev.00
VECTOR MAIS - Projectos e Obras de Interiores, S.A.&amp;R&amp;9&amp;P de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47E63-CCF8-4F34-A8DD-E82E6500D311}">
  <dimension ref="A1:Z615"/>
  <sheetViews>
    <sheetView workbookViewId="0">
      <pane ySplit="8" topLeftCell="A604" activePane="bottomLeft" state="frozen"/>
      <selection pane="bottomLeft" activeCell="G615" sqref="G615"/>
    </sheetView>
  </sheetViews>
  <sheetFormatPr defaultColWidth="8.85546875" defaultRowHeight="15" outlineLevelRow="1"/>
  <cols>
    <col min="1" max="1" width="2.7109375" style="105" customWidth="1"/>
    <col min="2" max="2" width="8.85546875" style="105"/>
    <col min="3" max="3" width="60.28515625" style="105" customWidth="1"/>
    <col min="4" max="4" width="6.5703125" style="107" customWidth="1"/>
    <col min="5" max="5" width="11.7109375" style="105" customWidth="1"/>
    <col min="6" max="8" width="8.85546875" style="105"/>
    <col min="9" max="9" width="239.7109375" style="105" bestFit="1" customWidth="1"/>
    <col min="10" max="16384" width="8.85546875" style="105"/>
  </cols>
  <sheetData>
    <row r="1" spans="1:26" s="2" customFormat="1" ht="46.15" customHeight="1">
      <c r="B1" s="178"/>
      <c r="C1" s="178"/>
      <c r="D1" s="178"/>
      <c r="E1" s="178"/>
      <c r="F1" s="178"/>
      <c r="G1" s="178"/>
      <c r="K1" s="89"/>
      <c r="L1" s="89"/>
      <c r="M1" s="89"/>
      <c r="N1" s="89"/>
    </row>
    <row r="2" spans="1:26" s="2" customFormat="1" ht="12.75">
      <c r="B2" s="179" t="s">
        <v>15</v>
      </c>
      <c r="C2" s="179"/>
      <c r="D2" s="179"/>
      <c r="E2" s="179"/>
      <c r="F2" s="179"/>
      <c r="G2" s="179"/>
      <c r="K2" s="99"/>
      <c r="L2" s="90"/>
      <c r="M2" s="87" t="s">
        <v>19</v>
      </c>
      <c r="N2" s="90"/>
    </row>
    <row r="3" spans="1:26" s="5" customFormat="1">
      <c r="B3" s="181"/>
      <c r="C3" s="181"/>
      <c r="D3" s="181"/>
      <c r="E3" s="181"/>
      <c r="F3" s="181"/>
      <c r="G3" s="181"/>
      <c r="K3" s="91"/>
    </row>
    <row r="4" spans="1:26" s="5" customFormat="1">
      <c r="B4" s="183" t="s">
        <v>1</v>
      </c>
      <c r="C4" s="183"/>
      <c r="D4" s="183"/>
      <c r="E4" s="183"/>
      <c r="F4" s="183"/>
      <c r="G4" s="183"/>
      <c r="K4" s="91"/>
      <c r="L4" s="88"/>
      <c r="M4" s="189" t="s">
        <v>2411</v>
      </c>
      <c r="N4" s="152"/>
    </row>
    <row r="5" spans="1:26" s="5" customFormat="1">
      <c r="B5" s="65" t="s">
        <v>2</v>
      </c>
      <c r="C5" s="184" t="s">
        <v>16</v>
      </c>
      <c r="D5" s="184"/>
      <c r="E5" s="184"/>
      <c r="F5" s="184"/>
      <c r="G5" s="184"/>
      <c r="K5" s="91"/>
      <c r="L5" s="88"/>
      <c r="M5" s="189"/>
      <c r="N5" s="152"/>
    </row>
    <row r="6" spans="1:26" s="5" customFormat="1">
      <c r="B6" s="65" t="s">
        <v>4</v>
      </c>
      <c r="C6" s="184" t="s">
        <v>5</v>
      </c>
      <c r="D6" s="184"/>
      <c r="E6" s="184"/>
      <c r="F6" s="184"/>
      <c r="G6" s="184"/>
      <c r="K6" s="91"/>
      <c r="M6" s="189"/>
      <c r="N6" s="152"/>
    </row>
    <row r="7" spans="1:26" s="5" customFormat="1" ht="18">
      <c r="B7" s="66"/>
      <c r="C7" s="35"/>
      <c r="D7" s="36"/>
      <c r="E7" s="117"/>
      <c r="F7" s="34"/>
      <c r="G7" s="34"/>
      <c r="K7" s="91"/>
      <c r="L7" s="91"/>
      <c r="M7" s="91"/>
      <c r="N7" s="91"/>
    </row>
    <row r="8" spans="1:26" s="3" customFormat="1" ht="24">
      <c r="B8" s="67" t="s">
        <v>6</v>
      </c>
      <c r="C8" s="40" t="s">
        <v>7</v>
      </c>
      <c r="D8" s="40" t="s">
        <v>17</v>
      </c>
      <c r="E8" s="118" t="s">
        <v>18</v>
      </c>
      <c r="F8" s="40" t="s">
        <v>20</v>
      </c>
      <c r="G8" s="41" t="s">
        <v>21</v>
      </c>
      <c r="K8" s="92"/>
      <c r="L8" s="187"/>
      <c r="M8" s="188" t="s">
        <v>1916</v>
      </c>
      <c r="N8" s="92"/>
      <c r="Q8" s="3" t="s">
        <v>1917</v>
      </c>
      <c r="R8" s="3" t="s">
        <v>1918</v>
      </c>
      <c r="S8" s="3" t="s">
        <v>1919</v>
      </c>
      <c r="T8" s="3" t="s">
        <v>1920</v>
      </c>
      <c r="U8" s="3" t="s">
        <v>1921</v>
      </c>
      <c r="V8" s="3" t="s">
        <v>1922</v>
      </c>
      <c r="W8" s="3" t="s">
        <v>1923</v>
      </c>
      <c r="X8" s="3" t="s">
        <v>1924</v>
      </c>
      <c r="Y8" s="3" t="s">
        <v>1924</v>
      </c>
    </row>
    <row r="9" spans="1:26" s="3" customFormat="1" ht="12">
      <c r="B9" s="68"/>
      <c r="C9" s="7"/>
      <c r="D9" s="8"/>
      <c r="E9" s="119"/>
      <c r="F9" s="4"/>
      <c r="G9" s="4"/>
      <c r="K9" s="92"/>
      <c r="L9" s="187"/>
      <c r="M9" s="188"/>
      <c r="N9" s="92"/>
      <c r="Z9" s="86"/>
    </row>
    <row r="10" spans="1:26" s="38" customFormat="1">
      <c r="B10" s="80"/>
      <c r="C10" s="77"/>
      <c r="D10" s="47"/>
      <c r="E10" s="120"/>
      <c r="F10" s="81"/>
      <c r="G10" s="82"/>
      <c r="K10" s="93"/>
      <c r="L10" s="94"/>
      <c r="M10" s="94"/>
      <c r="N10" s="94"/>
    </row>
    <row r="11" spans="1:26" s="38" customFormat="1" ht="12.75">
      <c r="B11" s="70" t="s">
        <v>19</v>
      </c>
      <c r="C11" s="52"/>
      <c r="D11" s="53"/>
      <c r="E11" s="123"/>
      <c r="F11" s="54">
        <v>0</v>
      </c>
      <c r="G11" s="54">
        <v>0</v>
      </c>
      <c r="K11" s="93"/>
      <c r="L11" s="94"/>
      <c r="M11" s="94"/>
      <c r="N11" s="94"/>
    </row>
    <row r="12" spans="1:26" s="38" customFormat="1" ht="38.25">
      <c r="A12" s="9"/>
      <c r="B12" s="84" t="s">
        <v>22</v>
      </c>
      <c r="C12" s="83" t="s">
        <v>23</v>
      </c>
      <c r="D12" s="47"/>
      <c r="E12" s="120"/>
      <c r="F12" s="81"/>
      <c r="G12" s="82"/>
      <c r="K12" s="93"/>
      <c r="L12" s="94"/>
      <c r="M12" s="94"/>
      <c r="N12" s="94"/>
    </row>
    <row r="13" spans="1:26" s="38" customFormat="1" ht="120.75" customHeight="1">
      <c r="B13" s="84" t="s">
        <v>24</v>
      </c>
      <c r="C13" s="83" t="s">
        <v>25</v>
      </c>
      <c r="D13" s="47"/>
      <c r="E13" s="120"/>
      <c r="F13" s="81"/>
      <c r="G13" s="82"/>
      <c r="K13" s="93"/>
      <c r="L13" s="94"/>
      <c r="M13" s="94"/>
      <c r="N13" s="94"/>
    </row>
    <row r="14" spans="1:26" s="38" customFormat="1" ht="63.75" customHeight="1">
      <c r="B14" s="84" t="s">
        <v>26</v>
      </c>
      <c r="C14" s="83" t="s">
        <v>27</v>
      </c>
      <c r="D14" s="47"/>
      <c r="E14" s="120"/>
      <c r="F14" s="81"/>
      <c r="G14" s="82"/>
      <c r="K14" s="93"/>
      <c r="L14" s="94"/>
      <c r="M14" s="94"/>
      <c r="N14" s="94"/>
    </row>
    <row r="15" spans="1:26" s="38" customFormat="1" ht="25.5">
      <c r="B15" s="84" t="s">
        <v>28</v>
      </c>
      <c r="C15" s="83" t="s">
        <v>29</v>
      </c>
      <c r="D15" s="47"/>
      <c r="E15" s="120"/>
      <c r="F15" s="81"/>
      <c r="G15" s="82"/>
      <c r="K15" s="93"/>
      <c r="L15" s="94"/>
      <c r="M15" s="94"/>
      <c r="N15" s="94"/>
    </row>
    <row r="16" spans="1:26" s="38" customFormat="1" ht="25.5">
      <c r="B16" s="84" t="s">
        <v>30</v>
      </c>
      <c r="C16" s="83" t="s">
        <v>2412</v>
      </c>
      <c r="D16" s="47"/>
      <c r="E16" s="120"/>
      <c r="F16" s="81"/>
      <c r="G16" s="82"/>
      <c r="K16" s="93"/>
      <c r="L16" s="94"/>
      <c r="M16" s="94"/>
      <c r="N16" s="94"/>
    </row>
    <row r="17" spans="1:26" s="38" customFormat="1" ht="25.5">
      <c r="B17" s="84" t="s">
        <v>2516</v>
      </c>
      <c r="C17" s="83" t="s">
        <v>2517</v>
      </c>
      <c r="D17" s="47"/>
      <c r="E17" s="120"/>
      <c r="F17" s="81"/>
      <c r="G17" s="82"/>
      <c r="K17" s="93"/>
      <c r="L17" s="94"/>
      <c r="M17" s="94"/>
      <c r="N17" s="94"/>
    </row>
    <row r="18" spans="1:26" s="38" customFormat="1">
      <c r="B18" s="84" t="s">
        <v>2518</v>
      </c>
      <c r="C18" s="83" t="s">
        <v>2519</v>
      </c>
      <c r="D18" s="47"/>
      <c r="E18" s="120"/>
      <c r="F18" s="81"/>
      <c r="G18" s="82"/>
      <c r="K18" s="93"/>
      <c r="L18" s="94"/>
      <c r="M18" s="94"/>
      <c r="N18" s="94"/>
    </row>
    <row r="19" spans="1:26" s="38" customFormat="1" ht="25.5">
      <c r="B19" s="84" t="s">
        <v>2520</v>
      </c>
      <c r="C19" s="83" t="s">
        <v>2521</v>
      </c>
      <c r="D19" s="47"/>
      <c r="E19" s="120"/>
      <c r="F19" s="81"/>
      <c r="G19" s="82"/>
      <c r="K19" s="93"/>
      <c r="L19" s="94"/>
      <c r="M19" s="94"/>
      <c r="N19" s="94"/>
    </row>
    <row r="20" spans="1:26" s="38" customFormat="1" ht="25.5">
      <c r="B20" s="84" t="s">
        <v>2522</v>
      </c>
      <c r="C20" s="83" t="s">
        <v>2523</v>
      </c>
      <c r="D20" s="47"/>
      <c r="E20" s="120"/>
      <c r="F20" s="81"/>
      <c r="G20" s="82"/>
      <c r="K20" s="93"/>
      <c r="L20" s="94"/>
      <c r="M20" s="94"/>
      <c r="N20" s="94"/>
    </row>
    <row r="21" spans="1:26" s="38" customFormat="1">
      <c r="B21" s="69"/>
      <c r="C21" s="46"/>
      <c r="D21" s="47"/>
      <c r="E21" s="121"/>
      <c r="F21" s="13"/>
      <c r="G21" s="37"/>
      <c r="K21" s="93"/>
      <c r="L21" s="94"/>
      <c r="M21" s="94"/>
      <c r="N21" s="94"/>
    </row>
    <row r="22" spans="1:26" s="38" customFormat="1" ht="12.75">
      <c r="B22" s="133">
        <v>1</v>
      </c>
      <c r="C22" s="52" t="s">
        <v>2413</v>
      </c>
      <c r="D22" s="53"/>
      <c r="E22" s="123"/>
      <c r="F22" s="54">
        <v>0</v>
      </c>
      <c r="G22" s="58">
        <f>G25</f>
        <v>0</v>
      </c>
      <c r="K22" s="93"/>
      <c r="L22" s="94"/>
      <c r="M22" s="94"/>
      <c r="N22" s="94"/>
    </row>
    <row r="23" spans="1:26" s="38" customFormat="1" ht="12.75">
      <c r="B23" s="116"/>
      <c r="C23" s="55"/>
      <c r="D23" s="56"/>
      <c r="E23" s="124"/>
      <c r="F23" s="13"/>
      <c r="G23" s="113"/>
      <c r="K23" s="93"/>
      <c r="L23" s="94"/>
      <c r="M23" s="94"/>
      <c r="N23" s="94"/>
    </row>
    <row r="24" spans="1:26" s="38" customFormat="1" ht="12.75">
      <c r="B24" s="71">
        <v>0.1</v>
      </c>
      <c r="C24" s="71" t="s">
        <v>2414</v>
      </c>
      <c r="D24" s="56"/>
      <c r="E24" s="124"/>
      <c r="F24" s="13"/>
      <c r="G24" s="113"/>
      <c r="K24" s="93"/>
      <c r="L24" s="94"/>
      <c r="M24" s="94"/>
      <c r="N24" s="94"/>
    </row>
    <row r="25" spans="1:26" s="38" customFormat="1" ht="91.5" customHeight="1" outlineLevel="1">
      <c r="B25" s="50">
        <v>1.1000000000000001</v>
      </c>
      <c r="C25" s="130" t="s">
        <v>2524</v>
      </c>
      <c r="D25" s="51"/>
      <c r="E25" s="112"/>
      <c r="F25" s="57"/>
      <c r="G25" s="57"/>
      <c r="K25" s="93"/>
      <c r="L25" s="94"/>
      <c r="M25" s="94"/>
      <c r="N25" s="94"/>
    </row>
    <row r="26" spans="1:26" ht="81" customHeight="1">
      <c r="B26" s="50" t="s">
        <v>34</v>
      </c>
      <c r="C26" s="134" t="s">
        <v>2541</v>
      </c>
      <c r="D26" s="106" t="s">
        <v>140</v>
      </c>
      <c r="E26" s="106">
        <v>100</v>
      </c>
    </row>
    <row r="27" spans="1:26">
      <c r="C27" s="134" t="s">
        <v>2415</v>
      </c>
      <c r="D27" s="106" t="s">
        <v>140</v>
      </c>
    </row>
    <row r="28" spans="1:26">
      <c r="C28" s="134" t="s">
        <v>2416</v>
      </c>
      <c r="D28" s="106" t="s">
        <v>140</v>
      </c>
    </row>
    <row r="29" spans="1:26">
      <c r="C29" s="134" t="s">
        <v>2417</v>
      </c>
      <c r="D29" s="106" t="s">
        <v>140</v>
      </c>
    </row>
    <row r="30" spans="1:26">
      <c r="A30"/>
      <c r="B30"/>
      <c r="C30" s="134" t="s">
        <v>2418</v>
      </c>
      <c r="D30" s="106" t="s">
        <v>140</v>
      </c>
      <c r="E30"/>
      <c r="F30"/>
      <c r="G30"/>
      <c r="H30"/>
      <c r="I30"/>
      <c r="J30"/>
      <c r="K30"/>
      <c r="L30"/>
      <c r="M30"/>
      <c r="N30"/>
      <c r="O30"/>
      <c r="P30"/>
      <c r="Q30"/>
      <c r="R30"/>
      <c r="S30"/>
      <c r="T30"/>
      <c r="U30"/>
      <c r="V30"/>
      <c r="W30"/>
      <c r="X30"/>
      <c r="Y30"/>
      <c r="Z30"/>
    </row>
    <row r="31" spans="1:26">
      <c r="A31"/>
      <c r="B31"/>
      <c r="C31" s="134" t="s">
        <v>2419</v>
      </c>
      <c r="D31" s="106" t="s">
        <v>140</v>
      </c>
      <c r="E31"/>
      <c r="F31"/>
      <c r="G31"/>
      <c r="H31"/>
      <c r="I31"/>
      <c r="J31"/>
      <c r="K31"/>
      <c r="L31"/>
      <c r="M31"/>
      <c r="N31"/>
      <c r="O31"/>
      <c r="P31"/>
      <c r="Q31"/>
      <c r="R31"/>
      <c r="S31"/>
      <c r="T31"/>
      <c r="U31"/>
      <c r="V31"/>
      <c r="W31"/>
      <c r="X31"/>
      <c r="Y31"/>
      <c r="Z31"/>
    </row>
    <row r="32" spans="1:26">
      <c r="A32"/>
      <c r="B32"/>
      <c r="C32" s="134" t="s">
        <v>2420</v>
      </c>
      <c r="D32" s="106" t="s">
        <v>140</v>
      </c>
      <c r="E32"/>
      <c r="F32"/>
      <c r="G32"/>
      <c r="H32"/>
      <c r="I32"/>
      <c r="J32"/>
      <c r="K32"/>
      <c r="L32"/>
      <c r="M32"/>
      <c r="N32"/>
      <c r="O32"/>
      <c r="P32"/>
      <c r="Q32"/>
      <c r="R32"/>
      <c r="S32"/>
      <c r="T32"/>
      <c r="U32"/>
      <c r="V32"/>
      <c r="W32"/>
      <c r="X32"/>
      <c r="Y32"/>
      <c r="Z32"/>
    </row>
    <row r="33" spans="1:26">
      <c r="A33"/>
      <c r="B33"/>
      <c r="C33" s="134" t="s">
        <v>2421</v>
      </c>
      <c r="D33" s="106" t="s">
        <v>140</v>
      </c>
      <c r="E33"/>
      <c r="F33"/>
      <c r="G33"/>
      <c r="H33"/>
      <c r="I33"/>
      <c r="J33"/>
      <c r="K33"/>
      <c r="L33"/>
      <c r="M33"/>
      <c r="N33"/>
      <c r="O33"/>
      <c r="P33"/>
      <c r="Q33"/>
      <c r="R33"/>
      <c r="S33"/>
      <c r="T33"/>
      <c r="U33"/>
      <c r="V33"/>
      <c r="W33"/>
      <c r="X33"/>
      <c r="Y33"/>
      <c r="Z33"/>
    </row>
    <row r="34" spans="1:26">
      <c r="A34"/>
      <c r="B34"/>
      <c r="C34" s="134" t="s">
        <v>2422</v>
      </c>
      <c r="D34" s="106" t="s">
        <v>140</v>
      </c>
      <c r="E34"/>
      <c r="F34"/>
      <c r="G34"/>
      <c r="H34"/>
      <c r="I34"/>
      <c r="J34"/>
      <c r="K34"/>
      <c r="L34"/>
      <c r="M34"/>
      <c r="N34"/>
      <c r="O34"/>
      <c r="P34"/>
      <c r="Q34"/>
      <c r="R34"/>
      <c r="S34"/>
      <c r="T34"/>
      <c r="U34"/>
      <c r="V34"/>
      <c r="W34"/>
      <c r="X34"/>
      <c r="Y34"/>
      <c r="Z34"/>
    </row>
    <row r="35" spans="1:26">
      <c r="A35"/>
      <c r="B35"/>
      <c r="C35" s="134" t="s">
        <v>2423</v>
      </c>
      <c r="D35" s="106" t="s">
        <v>140</v>
      </c>
      <c r="E35"/>
      <c r="F35"/>
      <c r="G35"/>
      <c r="H35"/>
      <c r="I35"/>
      <c r="J35"/>
      <c r="K35"/>
      <c r="L35"/>
      <c r="M35"/>
      <c r="N35"/>
      <c r="O35"/>
      <c r="P35"/>
      <c r="Q35"/>
      <c r="R35"/>
      <c r="S35"/>
      <c r="T35"/>
      <c r="U35"/>
      <c r="V35"/>
      <c r="W35"/>
      <c r="X35"/>
      <c r="Y35"/>
      <c r="Z35"/>
    </row>
    <row r="36" spans="1:26" ht="79.5" customHeight="1">
      <c r="B36" s="50" t="s">
        <v>2424</v>
      </c>
      <c r="C36" s="134" t="s">
        <v>2542</v>
      </c>
      <c r="D36" s="106" t="s">
        <v>140</v>
      </c>
      <c r="E36" s="106">
        <v>88</v>
      </c>
    </row>
    <row r="37" spans="1:26">
      <c r="C37" s="134" t="s">
        <v>2425</v>
      </c>
      <c r="D37" s="106" t="s">
        <v>140</v>
      </c>
    </row>
    <row r="38" spans="1:26">
      <c r="C38" s="134" t="s">
        <v>2426</v>
      </c>
      <c r="D38" s="106" t="s">
        <v>140</v>
      </c>
    </row>
    <row r="39" spans="1:26">
      <c r="C39" s="134" t="s">
        <v>2427</v>
      </c>
      <c r="D39" s="106" t="s">
        <v>140</v>
      </c>
    </row>
    <row r="40" spans="1:26">
      <c r="C40" s="134" t="s">
        <v>2428</v>
      </c>
      <c r="D40" s="106" t="s">
        <v>140</v>
      </c>
    </row>
    <row r="41" spans="1:26">
      <c r="C41" s="134" t="s">
        <v>2429</v>
      </c>
      <c r="D41" s="106" t="s">
        <v>140</v>
      </c>
    </row>
    <row r="42" spans="1:26">
      <c r="C42" s="134" t="s">
        <v>2430</v>
      </c>
      <c r="D42" s="106" t="s">
        <v>140</v>
      </c>
    </row>
    <row r="43" spans="1:26" ht="75.75" customHeight="1">
      <c r="A43"/>
      <c r="B43" s="50" t="s">
        <v>2431</v>
      </c>
      <c r="C43" s="134" t="s">
        <v>2543</v>
      </c>
      <c r="D43" s="106" t="s">
        <v>140</v>
      </c>
      <c r="E43" s="106">
        <v>89</v>
      </c>
      <c r="F43"/>
      <c r="G43"/>
      <c r="H43"/>
      <c r="I43"/>
      <c r="J43"/>
      <c r="K43"/>
      <c r="L43"/>
      <c r="M43"/>
      <c r="N43"/>
      <c r="O43"/>
      <c r="P43"/>
      <c r="Q43"/>
      <c r="R43"/>
      <c r="S43"/>
      <c r="T43"/>
      <c r="U43"/>
      <c r="V43"/>
      <c r="W43"/>
      <c r="X43"/>
      <c r="Y43"/>
      <c r="Z43"/>
    </row>
    <row r="44" spans="1:26">
      <c r="A44"/>
      <c r="B44"/>
      <c r="C44" s="134" t="s">
        <v>2430</v>
      </c>
      <c r="D44" s="106" t="s">
        <v>140</v>
      </c>
      <c r="E44"/>
      <c r="F44"/>
      <c r="G44"/>
      <c r="H44"/>
      <c r="I44"/>
      <c r="J44"/>
      <c r="K44"/>
      <c r="L44"/>
      <c r="M44"/>
      <c r="N44"/>
      <c r="O44"/>
      <c r="P44"/>
      <c r="Q44"/>
      <c r="R44"/>
      <c r="S44"/>
      <c r="T44"/>
      <c r="U44"/>
      <c r="V44"/>
      <c r="W44"/>
      <c r="X44"/>
      <c r="Y44"/>
      <c r="Z44"/>
    </row>
    <row r="45" spans="1:26">
      <c r="A45"/>
      <c r="B45"/>
      <c r="C45" s="134" t="s">
        <v>2432</v>
      </c>
      <c r="D45" s="106" t="s">
        <v>140</v>
      </c>
      <c r="E45"/>
      <c r="F45"/>
      <c r="G45"/>
      <c r="H45"/>
      <c r="I45"/>
      <c r="J45"/>
      <c r="K45"/>
      <c r="L45"/>
      <c r="M45"/>
      <c r="N45"/>
      <c r="O45"/>
      <c r="P45"/>
      <c r="Q45"/>
      <c r="R45"/>
      <c r="S45"/>
      <c r="T45"/>
      <c r="U45"/>
      <c r="V45"/>
      <c r="W45"/>
      <c r="X45"/>
      <c r="Y45"/>
      <c r="Z45"/>
    </row>
    <row r="46" spans="1:26">
      <c r="A46"/>
      <c r="B46"/>
      <c r="C46" s="134" t="s">
        <v>2433</v>
      </c>
      <c r="D46" s="106" t="s">
        <v>140</v>
      </c>
      <c r="E46"/>
      <c r="F46"/>
      <c r="G46"/>
      <c r="H46"/>
      <c r="I46"/>
      <c r="J46"/>
      <c r="K46"/>
      <c r="L46"/>
      <c r="M46"/>
      <c r="N46"/>
      <c r="O46"/>
      <c r="P46"/>
      <c r="Q46"/>
      <c r="R46"/>
      <c r="S46"/>
      <c r="T46"/>
      <c r="U46"/>
      <c r="V46"/>
      <c r="W46"/>
      <c r="X46"/>
      <c r="Y46"/>
      <c r="Z46"/>
    </row>
    <row r="47" spans="1:26">
      <c r="A47"/>
      <c r="B47"/>
      <c r="C47" s="134" t="s">
        <v>2434</v>
      </c>
      <c r="D47" s="106" t="s">
        <v>140</v>
      </c>
      <c r="E47"/>
      <c r="F47"/>
      <c r="G47"/>
      <c r="H47"/>
      <c r="I47"/>
      <c r="J47"/>
      <c r="K47"/>
      <c r="L47"/>
      <c r="M47"/>
      <c r="N47"/>
      <c r="O47"/>
      <c r="P47"/>
      <c r="Q47"/>
      <c r="R47"/>
      <c r="S47"/>
      <c r="T47"/>
      <c r="U47"/>
      <c r="V47"/>
      <c r="W47"/>
      <c r="X47"/>
      <c r="Y47"/>
      <c r="Z47"/>
    </row>
    <row r="48" spans="1:26" ht="63.75">
      <c r="A48"/>
      <c r="B48" s="50" t="s">
        <v>2435</v>
      </c>
      <c r="C48" s="134" t="s">
        <v>2544</v>
      </c>
      <c r="D48" s="106" t="s">
        <v>140</v>
      </c>
      <c r="E48" s="106">
        <v>9</v>
      </c>
      <c r="F48"/>
      <c r="G48"/>
      <c r="H48"/>
      <c r="I48"/>
      <c r="J48"/>
      <c r="K48"/>
      <c r="L48"/>
      <c r="M48"/>
      <c r="N48"/>
      <c r="O48"/>
      <c r="P48"/>
      <c r="Q48"/>
      <c r="R48"/>
      <c r="S48"/>
      <c r="T48"/>
      <c r="U48"/>
      <c r="V48"/>
      <c r="W48"/>
      <c r="X48"/>
      <c r="Y48"/>
      <c r="Z48"/>
    </row>
    <row r="49" spans="1:26">
      <c r="A49"/>
      <c r="B49"/>
      <c r="C49" s="134" t="s">
        <v>2436</v>
      </c>
      <c r="D49" s="106" t="s">
        <v>140</v>
      </c>
      <c r="E49"/>
      <c r="F49"/>
      <c r="G49"/>
      <c r="H49"/>
      <c r="I49"/>
      <c r="J49"/>
      <c r="K49"/>
      <c r="L49"/>
      <c r="M49"/>
      <c r="N49"/>
      <c r="O49"/>
      <c r="P49"/>
      <c r="Q49"/>
      <c r="R49"/>
      <c r="S49"/>
      <c r="T49"/>
      <c r="U49"/>
      <c r="V49"/>
      <c r="W49"/>
      <c r="X49"/>
      <c r="Y49"/>
      <c r="Z49"/>
    </row>
    <row r="50" spans="1:26">
      <c r="A50"/>
      <c r="B50"/>
      <c r="C50" s="134" t="s">
        <v>2437</v>
      </c>
      <c r="D50" s="106" t="s">
        <v>140</v>
      </c>
      <c r="E50"/>
      <c r="F50"/>
      <c r="G50"/>
      <c r="H50"/>
      <c r="I50"/>
      <c r="J50"/>
      <c r="K50"/>
      <c r="L50"/>
      <c r="M50"/>
      <c r="N50"/>
      <c r="O50"/>
      <c r="P50"/>
      <c r="Q50"/>
      <c r="R50"/>
      <c r="S50"/>
      <c r="T50"/>
      <c r="U50"/>
      <c r="V50"/>
      <c r="W50"/>
      <c r="X50"/>
      <c r="Y50"/>
      <c r="Z50"/>
    </row>
    <row r="51" spans="1:26" ht="75.75" customHeight="1">
      <c r="B51" s="50" t="s">
        <v>2438</v>
      </c>
      <c r="C51" s="134" t="s">
        <v>2545</v>
      </c>
      <c r="D51" s="106" t="s">
        <v>140</v>
      </c>
      <c r="E51" s="106">
        <v>568</v>
      </c>
    </row>
    <row r="52" spans="1:26">
      <c r="C52" s="134" t="s">
        <v>2425</v>
      </c>
      <c r="D52" s="106" t="s">
        <v>140</v>
      </c>
    </row>
    <row r="53" spans="1:26">
      <c r="C53" s="134" t="s">
        <v>2415</v>
      </c>
      <c r="D53" s="106" t="s">
        <v>140</v>
      </c>
    </row>
    <row r="54" spans="1:26">
      <c r="C54" s="134" t="s">
        <v>2426</v>
      </c>
      <c r="D54" s="106" t="s">
        <v>140</v>
      </c>
    </row>
    <row r="55" spans="1:26">
      <c r="A55"/>
      <c r="B55"/>
      <c r="C55" s="134" t="s">
        <v>2416</v>
      </c>
      <c r="D55" s="106" t="s">
        <v>140</v>
      </c>
      <c r="F55"/>
      <c r="G55"/>
      <c r="H55"/>
      <c r="I55"/>
      <c r="J55"/>
      <c r="K55"/>
      <c r="L55"/>
      <c r="M55"/>
      <c r="N55"/>
      <c r="O55"/>
      <c r="P55"/>
      <c r="Q55"/>
      <c r="R55"/>
      <c r="S55"/>
      <c r="T55"/>
      <c r="U55"/>
      <c r="V55"/>
      <c r="W55"/>
      <c r="X55"/>
      <c r="Y55"/>
      <c r="Z55"/>
    </row>
    <row r="56" spans="1:26">
      <c r="A56"/>
      <c r="B56"/>
      <c r="C56" s="134" t="s">
        <v>2417</v>
      </c>
      <c r="D56" s="106" t="s">
        <v>140</v>
      </c>
      <c r="F56"/>
      <c r="G56"/>
      <c r="H56"/>
      <c r="I56"/>
      <c r="J56"/>
      <c r="K56"/>
      <c r="L56"/>
      <c r="M56"/>
      <c r="N56"/>
      <c r="O56"/>
      <c r="P56"/>
      <c r="Q56"/>
      <c r="R56"/>
      <c r="S56"/>
      <c r="T56"/>
      <c r="U56"/>
      <c r="V56"/>
      <c r="W56"/>
      <c r="X56"/>
      <c r="Y56"/>
      <c r="Z56"/>
    </row>
    <row r="57" spans="1:26">
      <c r="A57"/>
      <c r="B57"/>
      <c r="C57" s="134" t="s">
        <v>2418</v>
      </c>
      <c r="D57" s="106" t="s">
        <v>140</v>
      </c>
      <c r="F57"/>
      <c r="G57"/>
      <c r="H57"/>
      <c r="I57"/>
      <c r="J57"/>
      <c r="K57"/>
      <c r="L57"/>
      <c r="M57"/>
      <c r="N57"/>
      <c r="O57"/>
      <c r="P57"/>
      <c r="Q57"/>
      <c r="R57"/>
      <c r="S57"/>
      <c r="T57"/>
      <c r="U57"/>
      <c r="V57"/>
      <c r="W57"/>
      <c r="X57"/>
      <c r="Y57"/>
      <c r="Z57"/>
    </row>
    <row r="58" spans="1:26">
      <c r="A58"/>
      <c r="B58"/>
      <c r="C58" s="134" t="s">
        <v>2427</v>
      </c>
      <c r="D58" s="106" t="s">
        <v>140</v>
      </c>
      <c r="F58"/>
      <c r="G58"/>
      <c r="H58"/>
      <c r="I58"/>
      <c r="J58"/>
      <c r="K58"/>
      <c r="L58"/>
      <c r="M58"/>
      <c r="N58"/>
      <c r="O58"/>
      <c r="P58"/>
      <c r="Q58"/>
      <c r="R58"/>
      <c r="S58"/>
      <c r="T58"/>
      <c r="U58"/>
      <c r="V58"/>
      <c r="W58"/>
      <c r="X58"/>
      <c r="Y58"/>
      <c r="Z58"/>
    </row>
    <row r="59" spans="1:26">
      <c r="A59"/>
      <c r="B59"/>
      <c r="C59" s="134" t="s">
        <v>2428</v>
      </c>
      <c r="D59" s="106" t="s">
        <v>140</v>
      </c>
      <c r="F59"/>
      <c r="G59"/>
      <c r="H59"/>
      <c r="I59"/>
      <c r="J59"/>
      <c r="K59"/>
      <c r="L59"/>
      <c r="M59"/>
      <c r="N59"/>
      <c r="O59"/>
      <c r="P59"/>
      <c r="Q59"/>
      <c r="R59"/>
      <c r="S59"/>
      <c r="T59"/>
      <c r="U59"/>
      <c r="V59"/>
      <c r="W59"/>
      <c r="X59"/>
      <c r="Y59"/>
      <c r="Z59"/>
    </row>
    <row r="60" spans="1:26">
      <c r="A60"/>
      <c r="B60"/>
      <c r="C60" s="134" t="s">
        <v>2429</v>
      </c>
      <c r="D60" s="106" t="s">
        <v>140</v>
      </c>
      <c r="F60"/>
      <c r="G60"/>
      <c r="H60"/>
      <c r="I60"/>
      <c r="J60"/>
      <c r="K60"/>
      <c r="L60"/>
      <c r="M60"/>
      <c r="N60"/>
      <c r="O60"/>
      <c r="P60"/>
      <c r="Q60"/>
      <c r="R60"/>
      <c r="S60"/>
      <c r="T60"/>
      <c r="U60"/>
      <c r="V60"/>
      <c r="W60"/>
      <c r="X60"/>
      <c r="Y60"/>
      <c r="Z60"/>
    </row>
    <row r="61" spans="1:26">
      <c r="A61"/>
      <c r="B61"/>
      <c r="C61" s="134" t="s">
        <v>2419</v>
      </c>
      <c r="D61" s="106" t="s">
        <v>140</v>
      </c>
      <c r="F61"/>
      <c r="G61"/>
      <c r="H61"/>
      <c r="I61"/>
      <c r="J61"/>
      <c r="K61"/>
      <c r="L61"/>
      <c r="M61"/>
      <c r="N61"/>
      <c r="O61"/>
      <c r="P61"/>
      <c r="Q61"/>
      <c r="R61"/>
      <c r="S61"/>
      <c r="T61"/>
      <c r="U61"/>
      <c r="V61"/>
      <c r="W61"/>
      <c r="X61"/>
      <c r="Y61"/>
      <c r="Z61"/>
    </row>
    <row r="62" spans="1:26">
      <c r="A62"/>
      <c r="B62"/>
      <c r="C62" s="134" t="s">
        <v>2420</v>
      </c>
      <c r="D62" s="106" t="s">
        <v>140</v>
      </c>
      <c r="F62"/>
      <c r="G62"/>
      <c r="H62"/>
      <c r="I62"/>
      <c r="J62"/>
      <c r="K62"/>
      <c r="L62"/>
      <c r="M62"/>
      <c r="N62"/>
      <c r="O62"/>
      <c r="P62"/>
      <c r="Q62"/>
      <c r="R62"/>
      <c r="S62"/>
      <c r="T62"/>
      <c r="U62"/>
      <c r="V62"/>
      <c r="W62"/>
      <c r="X62"/>
      <c r="Y62"/>
      <c r="Z62"/>
    </row>
    <row r="63" spans="1:26">
      <c r="A63"/>
      <c r="B63"/>
      <c r="C63" s="134" t="s">
        <v>2421</v>
      </c>
      <c r="D63" s="106" t="s">
        <v>140</v>
      </c>
      <c r="F63"/>
      <c r="G63"/>
      <c r="H63"/>
      <c r="I63"/>
      <c r="J63"/>
      <c r="K63"/>
      <c r="L63"/>
      <c r="M63"/>
      <c r="N63"/>
      <c r="O63"/>
      <c r="P63"/>
      <c r="Q63"/>
      <c r="R63"/>
      <c r="S63"/>
      <c r="T63"/>
      <c r="U63"/>
      <c r="V63"/>
      <c r="W63"/>
      <c r="X63"/>
      <c r="Y63"/>
      <c r="Z63"/>
    </row>
    <row r="64" spans="1:26">
      <c r="A64"/>
      <c r="B64"/>
      <c r="C64" s="134" t="s">
        <v>2422</v>
      </c>
      <c r="D64" s="106" t="s">
        <v>140</v>
      </c>
      <c r="F64"/>
      <c r="G64"/>
      <c r="H64"/>
      <c r="I64"/>
      <c r="J64"/>
      <c r="K64"/>
      <c r="L64"/>
      <c r="M64"/>
      <c r="N64"/>
      <c r="O64"/>
      <c r="P64"/>
      <c r="Q64"/>
      <c r="R64"/>
      <c r="S64"/>
      <c r="T64"/>
      <c r="U64"/>
      <c r="V64"/>
      <c r="W64"/>
      <c r="X64"/>
      <c r="Y64"/>
      <c r="Z64"/>
    </row>
    <row r="65" spans="1:26">
      <c r="A65"/>
      <c r="B65"/>
      <c r="C65" s="134" t="s">
        <v>2423</v>
      </c>
      <c r="D65" s="106" t="s">
        <v>140</v>
      </c>
      <c r="F65"/>
      <c r="G65"/>
      <c r="H65"/>
      <c r="I65"/>
      <c r="J65"/>
      <c r="K65"/>
      <c r="L65"/>
      <c r="M65"/>
      <c r="N65"/>
      <c r="O65"/>
      <c r="P65"/>
      <c r="Q65"/>
      <c r="R65"/>
      <c r="S65"/>
      <c r="T65"/>
      <c r="U65"/>
      <c r="V65"/>
      <c r="W65"/>
      <c r="X65"/>
      <c r="Y65"/>
      <c r="Z65"/>
    </row>
    <row r="66" spans="1:26">
      <c r="A66"/>
      <c r="B66"/>
      <c r="C66" s="134" t="s">
        <v>2430</v>
      </c>
      <c r="D66" s="106" t="s">
        <v>140</v>
      </c>
      <c r="F66"/>
      <c r="G66"/>
      <c r="H66"/>
      <c r="I66"/>
      <c r="J66"/>
      <c r="K66"/>
      <c r="L66"/>
      <c r="M66"/>
      <c r="N66"/>
      <c r="O66"/>
      <c r="P66"/>
      <c r="Q66"/>
      <c r="R66"/>
      <c r="S66"/>
      <c r="T66"/>
      <c r="U66"/>
      <c r="V66"/>
      <c r="W66"/>
      <c r="X66"/>
      <c r="Y66"/>
      <c r="Z66"/>
    </row>
    <row r="67" spans="1:26">
      <c r="A67"/>
      <c r="B67"/>
      <c r="C67" s="134" t="s">
        <v>2432</v>
      </c>
      <c r="D67" s="106" t="s">
        <v>140</v>
      </c>
      <c r="F67"/>
      <c r="G67"/>
      <c r="H67"/>
      <c r="I67"/>
      <c r="J67"/>
      <c r="K67"/>
      <c r="L67"/>
      <c r="M67"/>
      <c r="N67"/>
      <c r="O67"/>
      <c r="P67"/>
      <c r="Q67"/>
      <c r="R67"/>
      <c r="S67"/>
      <c r="T67"/>
      <c r="U67"/>
      <c r="V67"/>
      <c r="W67"/>
      <c r="X67"/>
      <c r="Y67"/>
      <c r="Z67"/>
    </row>
    <row r="68" spans="1:26">
      <c r="A68"/>
      <c r="B68"/>
      <c r="C68" s="134" t="s">
        <v>2433</v>
      </c>
      <c r="D68" s="106" t="s">
        <v>140</v>
      </c>
      <c r="F68"/>
      <c r="G68"/>
      <c r="H68"/>
      <c r="I68"/>
      <c r="J68"/>
      <c r="K68"/>
      <c r="L68"/>
      <c r="M68"/>
      <c r="N68"/>
      <c r="O68"/>
      <c r="P68"/>
      <c r="Q68"/>
      <c r="R68"/>
      <c r="S68"/>
      <c r="T68"/>
      <c r="U68"/>
      <c r="V68"/>
      <c r="W68"/>
      <c r="X68"/>
      <c r="Y68"/>
      <c r="Z68"/>
    </row>
    <row r="69" spans="1:26">
      <c r="A69"/>
      <c r="B69"/>
      <c r="C69" s="134" t="s">
        <v>2434</v>
      </c>
      <c r="D69" s="106" t="s">
        <v>140</v>
      </c>
      <c r="F69"/>
      <c r="G69"/>
      <c r="H69"/>
      <c r="I69"/>
      <c r="J69"/>
      <c r="K69"/>
      <c r="L69"/>
      <c r="M69"/>
      <c r="N69"/>
      <c r="O69"/>
      <c r="P69"/>
      <c r="Q69"/>
      <c r="R69"/>
      <c r="S69"/>
      <c r="T69"/>
      <c r="U69"/>
      <c r="V69"/>
      <c r="W69"/>
      <c r="X69"/>
      <c r="Y69"/>
      <c r="Z69"/>
    </row>
    <row r="70" spans="1:26">
      <c r="A70"/>
      <c r="B70"/>
      <c r="C70" s="134" t="s">
        <v>2436</v>
      </c>
      <c r="D70" s="106" t="s">
        <v>140</v>
      </c>
      <c r="F70"/>
      <c r="G70"/>
      <c r="H70"/>
      <c r="I70"/>
      <c r="J70"/>
      <c r="K70"/>
      <c r="L70"/>
      <c r="M70"/>
      <c r="N70"/>
      <c r="O70"/>
      <c r="P70"/>
      <c r="Q70"/>
      <c r="R70"/>
      <c r="S70"/>
      <c r="T70"/>
      <c r="U70"/>
      <c r="V70"/>
      <c r="W70"/>
      <c r="X70"/>
      <c r="Y70"/>
      <c r="Z70"/>
    </row>
    <row r="71" spans="1:26">
      <c r="A71"/>
      <c r="B71"/>
      <c r="C71" s="134" t="s">
        <v>2437</v>
      </c>
      <c r="D71" s="106" t="s">
        <v>140</v>
      </c>
      <c r="F71"/>
      <c r="G71"/>
      <c r="H71"/>
      <c r="I71"/>
      <c r="J71"/>
      <c r="K71"/>
      <c r="L71"/>
      <c r="M71"/>
      <c r="N71"/>
      <c r="O71"/>
      <c r="P71"/>
      <c r="Q71"/>
      <c r="R71"/>
      <c r="S71"/>
      <c r="T71"/>
      <c r="U71"/>
      <c r="V71"/>
      <c r="W71"/>
      <c r="X71"/>
      <c r="Y71"/>
      <c r="Z71"/>
    </row>
    <row r="72" spans="1:26" ht="87" customHeight="1">
      <c r="B72" s="50" t="s">
        <v>2439</v>
      </c>
      <c r="C72" s="134" t="s">
        <v>2546</v>
      </c>
      <c r="D72" s="106" t="s">
        <v>140</v>
      </c>
      <c r="E72" s="106">
        <v>278</v>
      </c>
    </row>
    <row r="73" spans="1:26">
      <c r="C73" s="134" t="s">
        <v>2425</v>
      </c>
      <c r="D73" s="106" t="s">
        <v>140</v>
      </c>
    </row>
    <row r="74" spans="1:26">
      <c r="C74" s="134" t="s">
        <v>2415</v>
      </c>
      <c r="D74" s="106" t="s">
        <v>140</v>
      </c>
    </row>
    <row r="75" spans="1:26">
      <c r="C75" s="134" t="s">
        <v>2426</v>
      </c>
      <c r="D75" s="106" t="s">
        <v>140</v>
      </c>
    </row>
    <row r="76" spans="1:26">
      <c r="A76"/>
      <c r="B76"/>
      <c r="C76" s="134" t="s">
        <v>2416</v>
      </c>
      <c r="D76" s="106" t="s">
        <v>140</v>
      </c>
      <c r="F76"/>
      <c r="G76"/>
      <c r="H76"/>
      <c r="I76"/>
      <c r="J76"/>
      <c r="K76"/>
      <c r="L76"/>
      <c r="M76"/>
      <c r="N76"/>
      <c r="O76"/>
      <c r="P76"/>
      <c r="Q76"/>
      <c r="R76"/>
      <c r="S76"/>
      <c r="T76"/>
      <c r="U76"/>
      <c r="V76"/>
      <c r="W76"/>
      <c r="X76"/>
      <c r="Y76"/>
      <c r="Z76"/>
    </row>
    <row r="77" spans="1:26">
      <c r="A77"/>
      <c r="B77"/>
      <c r="C77" s="134" t="s">
        <v>2417</v>
      </c>
      <c r="D77" s="106" t="s">
        <v>140</v>
      </c>
      <c r="F77"/>
      <c r="G77"/>
      <c r="H77"/>
      <c r="I77"/>
      <c r="J77"/>
      <c r="K77"/>
      <c r="L77"/>
      <c r="M77"/>
      <c r="N77"/>
      <c r="O77"/>
      <c r="P77"/>
      <c r="Q77"/>
      <c r="R77"/>
      <c r="S77"/>
      <c r="T77"/>
      <c r="U77"/>
      <c r="V77"/>
      <c r="W77"/>
      <c r="X77"/>
      <c r="Y77"/>
      <c r="Z77"/>
    </row>
    <row r="78" spans="1:26">
      <c r="A78"/>
      <c r="B78"/>
      <c r="C78" s="134" t="s">
        <v>2418</v>
      </c>
      <c r="D78" s="106" t="s">
        <v>140</v>
      </c>
      <c r="F78"/>
      <c r="G78"/>
      <c r="H78"/>
      <c r="I78"/>
      <c r="J78"/>
      <c r="K78"/>
      <c r="L78"/>
      <c r="M78"/>
      <c r="N78"/>
      <c r="O78"/>
      <c r="P78"/>
      <c r="Q78"/>
      <c r="R78"/>
      <c r="S78"/>
      <c r="T78"/>
      <c r="U78"/>
      <c r="V78"/>
      <c r="W78"/>
      <c r="X78"/>
      <c r="Y78"/>
      <c r="Z78"/>
    </row>
    <row r="79" spans="1:26">
      <c r="A79"/>
      <c r="B79"/>
      <c r="C79" s="134" t="s">
        <v>2427</v>
      </c>
      <c r="D79" s="106" t="s">
        <v>140</v>
      </c>
      <c r="F79"/>
      <c r="G79"/>
      <c r="H79"/>
      <c r="I79"/>
      <c r="J79"/>
      <c r="K79"/>
      <c r="L79"/>
      <c r="M79"/>
      <c r="N79"/>
      <c r="O79"/>
      <c r="P79"/>
      <c r="Q79"/>
      <c r="R79"/>
      <c r="S79"/>
      <c r="T79"/>
      <c r="U79"/>
      <c r="V79"/>
      <c r="W79"/>
      <c r="X79"/>
      <c r="Y79"/>
      <c r="Z79"/>
    </row>
    <row r="80" spans="1:26">
      <c r="A80"/>
      <c r="B80"/>
      <c r="C80" s="134" t="s">
        <v>2428</v>
      </c>
      <c r="D80" s="106" t="s">
        <v>140</v>
      </c>
      <c r="F80"/>
      <c r="G80"/>
      <c r="H80"/>
      <c r="I80"/>
      <c r="J80"/>
      <c r="K80"/>
      <c r="L80"/>
      <c r="M80"/>
      <c r="N80"/>
      <c r="O80"/>
      <c r="P80"/>
      <c r="Q80"/>
      <c r="R80"/>
      <c r="S80"/>
      <c r="T80"/>
      <c r="U80"/>
      <c r="V80"/>
      <c r="W80"/>
      <c r="X80"/>
      <c r="Y80"/>
      <c r="Z80"/>
    </row>
    <row r="81" spans="1:26">
      <c r="A81"/>
      <c r="B81"/>
      <c r="C81" s="134" t="s">
        <v>2429</v>
      </c>
      <c r="D81" s="106" t="s">
        <v>140</v>
      </c>
      <c r="F81"/>
      <c r="G81"/>
      <c r="H81"/>
      <c r="I81"/>
      <c r="J81"/>
      <c r="K81"/>
      <c r="L81"/>
      <c r="M81"/>
      <c r="N81"/>
      <c r="O81"/>
      <c r="P81"/>
      <c r="Q81"/>
      <c r="R81"/>
      <c r="S81"/>
      <c r="T81"/>
      <c r="U81"/>
      <c r="V81"/>
      <c r="W81"/>
      <c r="X81"/>
      <c r="Y81"/>
      <c r="Z81"/>
    </row>
    <row r="82" spans="1:26">
      <c r="A82"/>
      <c r="B82"/>
      <c r="C82" s="134" t="s">
        <v>2419</v>
      </c>
      <c r="D82" s="106" t="s">
        <v>140</v>
      </c>
      <c r="F82"/>
      <c r="G82"/>
      <c r="H82"/>
      <c r="I82"/>
      <c r="J82"/>
      <c r="K82"/>
      <c r="L82"/>
      <c r="M82"/>
      <c r="N82"/>
      <c r="O82"/>
      <c r="P82"/>
      <c r="Q82"/>
      <c r="R82"/>
      <c r="S82"/>
      <c r="T82"/>
      <c r="U82"/>
      <c r="V82"/>
      <c r="W82"/>
      <c r="X82"/>
      <c r="Y82"/>
      <c r="Z82"/>
    </row>
    <row r="83" spans="1:26">
      <c r="A83"/>
      <c r="B83"/>
      <c r="C83" s="134" t="s">
        <v>2420</v>
      </c>
      <c r="D83" s="106" t="s">
        <v>140</v>
      </c>
      <c r="F83"/>
      <c r="G83"/>
      <c r="H83"/>
      <c r="I83"/>
      <c r="J83"/>
      <c r="K83"/>
      <c r="L83"/>
      <c r="M83"/>
      <c r="N83"/>
      <c r="O83"/>
      <c r="P83"/>
      <c r="Q83"/>
      <c r="R83"/>
      <c r="S83"/>
      <c r="T83"/>
      <c r="U83"/>
      <c r="V83"/>
      <c r="W83"/>
      <c r="X83"/>
      <c r="Y83"/>
      <c r="Z83"/>
    </row>
    <row r="84" spans="1:26">
      <c r="A84"/>
      <c r="B84"/>
      <c r="C84" s="134" t="s">
        <v>2422</v>
      </c>
      <c r="D84" s="106" t="s">
        <v>140</v>
      </c>
      <c r="F84"/>
      <c r="G84"/>
      <c r="H84"/>
      <c r="I84"/>
      <c r="J84"/>
      <c r="K84"/>
      <c r="L84"/>
      <c r="M84"/>
      <c r="N84"/>
      <c r="O84"/>
      <c r="P84"/>
      <c r="Q84"/>
      <c r="R84"/>
      <c r="S84"/>
      <c r="T84"/>
      <c r="U84"/>
      <c r="V84"/>
      <c r="W84"/>
      <c r="X84"/>
      <c r="Y84"/>
      <c r="Z84"/>
    </row>
    <row r="85" spans="1:26">
      <c r="A85"/>
      <c r="B85"/>
      <c r="C85" s="134" t="s">
        <v>2423</v>
      </c>
      <c r="D85" s="106" t="s">
        <v>140</v>
      </c>
      <c r="F85"/>
      <c r="G85"/>
      <c r="H85"/>
      <c r="I85"/>
      <c r="J85"/>
      <c r="K85"/>
      <c r="L85"/>
      <c r="M85"/>
      <c r="N85"/>
      <c r="O85"/>
      <c r="P85"/>
      <c r="Q85"/>
      <c r="R85"/>
      <c r="S85"/>
      <c r="T85"/>
      <c r="U85"/>
      <c r="V85"/>
      <c r="W85"/>
      <c r="X85"/>
      <c r="Y85"/>
      <c r="Z85"/>
    </row>
    <row r="86" spans="1:26">
      <c r="A86"/>
      <c r="B86"/>
      <c r="C86" s="134" t="s">
        <v>2430</v>
      </c>
      <c r="D86" s="106" t="s">
        <v>140</v>
      </c>
      <c r="F86"/>
      <c r="G86"/>
      <c r="H86"/>
      <c r="I86"/>
      <c r="J86"/>
      <c r="K86"/>
      <c r="L86"/>
      <c r="M86"/>
      <c r="N86"/>
      <c r="O86"/>
      <c r="P86"/>
      <c r="Q86"/>
      <c r="R86"/>
      <c r="S86"/>
      <c r="T86"/>
      <c r="U86"/>
      <c r="V86"/>
      <c r="W86"/>
      <c r="X86"/>
      <c r="Y86"/>
      <c r="Z86"/>
    </row>
    <row r="87" spans="1:26">
      <c r="A87"/>
      <c r="B87"/>
      <c r="C87" s="134" t="s">
        <v>2432</v>
      </c>
      <c r="D87" s="106" t="s">
        <v>140</v>
      </c>
      <c r="F87"/>
      <c r="G87"/>
      <c r="H87"/>
      <c r="I87"/>
      <c r="J87"/>
      <c r="K87"/>
      <c r="L87"/>
      <c r="M87"/>
      <c r="N87"/>
      <c r="O87"/>
      <c r="P87"/>
      <c r="Q87"/>
      <c r="R87"/>
      <c r="S87"/>
      <c r="T87"/>
      <c r="U87"/>
      <c r="V87"/>
      <c r="W87"/>
      <c r="X87"/>
      <c r="Y87"/>
      <c r="Z87"/>
    </row>
    <row r="88" spans="1:26">
      <c r="A88"/>
      <c r="B88"/>
      <c r="C88" s="134" t="s">
        <v>2433</v>
      </c>
      <c r="D88" s="106" t="s">
        <v>140</v>
      </c>
      <c r="F88"/>
      <c r="G88"/>
      <c r="H88"/>
      <c r="I88"/>
      <c r="J88"/>
      <c r="K88"/>
      <c r="L88"/>
      <c r="M88"/>
      <c r="N88"/>
      <c r="O88"/>
      <c r="P88"/>
      <c r="Q88"/>
      <c r="R88"/>
      <c r="S88"/>
      <c r="T88"/>
      <c r="U88"/>
      <c r="V88"/>
      <c r="W88"/>
      <c r="X88"/>
      <c r="Y88"/>
      <c r="Z88"/>
    </row>
    <row r="89" spans="1:26">
      <c r="A89"/>
      <c r="B89"/>
      <c r="C89" s="134" t="s">
        <v>2434</v>
      </c>
      <c r="D89" s="106" t="s">
        <v>140</v>
      </c>
      <c r="F89"/>
      <c r="G89"/>
      <c r="H89"/>
      <c r="I89"/>
      <c r="J89"/>
      <c r="K89"/>
      <c r="L89"/>
      <c r="M89"/>
      <c r="N89"/>
      <c r="O89"/>
      <c r="P89"/>
      <c r="Q89"/>
      <c r="R89"/>
      <c r="S89"/>
      <c r="T89"/>
      <c r="U89"/>
      <c r="V89"/>
      <c r="W89"/>
      <c r="X89"/>
      <c r="Y89"/>
      <c r="Z89"/>
    </row>
    <row r="90" spans="1:26">
      <c r="A90"/>
      <c r="B90"/>
      <c r="C90" s="134" t="s">
        <v>2436</v>
      </c>
      <c r="D90" s="106" t="s">
        <v>140</v>
      </c>
      <c r="F90"/>
      <c r="G90"/>
      <c r="H90"/>
      <c r="I90"/>
      <c r="J90"/>
      <c r="K90"/>
      <c r="L90"/>
      <c r="M90"/>
      <c r="N90"/>
      <c r="O90"/>
      <c r="P90"/>
      <c r="Q90"/>
      <c r="R90"/>
      <c r="S90"/>
      <c r="T90"/>
      <c r="U90"/>
      <c r="V90"/>
      <c r="W90"/>
      <c r="X90"/>
      <c r="Y90"/>
      <c r="Z90"/>
    </row>
    <row r="91" spans="1:26">
      <c r="A91"/>
      <c r="B91"/>
      <c r="C91" s="134" t="s">
        <v>2437</v>
      </c>
      <c r="D91" s="106" t="s">
        <v>140</v>
      </c>
      <c r="F91"/>
      <c r="G91"/>
      <c r="H91"/>
      <c r="I91"/>
      <c r="J91"/>
      <c r="K91"/>
      <c r="L91"/>
      <c r="M91"/>
      <c r="N91"/>
      <c r="O91"/>
      <c r="P91"/>
      <c r="Q91"/>
      <c r="R91"/>
      <c r="S91"/>
      <c r="T91"/>
      <c r="U91"/>
      <c r="V91"/>
      <c r="W91"/>
      <c r="X91"/>
      <c r="Y91"/>
      <c r="Z91"/>
    </row>
    <row r="92" spans="1:26" ht="76.5">
      <c r="B92" s="50" t="s">
        <v>2440</v>
      </c>
      <c r="C92" s="134" t="s">
        <v>2547</v>
      </c>
      <c r="D92" s="106" t="s">
        <v>140</v>
      </c>
      <c r="E92" s="106">
        <v>290</v>
      </c>
    </row>
    <row r="93" spans="1:26">
      <c r="C93" s="134" t="s">
        <v>2425</v>
      </c>
      <c r="D93" s="106" t="s">
        <v>140</v>
      </c>
    </row>
    <row r="94" spans="1:26">
      <c r="C94" s="134" t="s">
        <v>2415</v>
      </c>
      <c r="D94" s="106" t="s">
        <v>140</v>
      </c>
    </row>
    <row r="95" spans="1:26">
      <c r="C95" s="134" t="s">
        <v>2426</v>
      </c>
      <c r="D95" s="106" t="s">
        <v>140</v>
      </c>
    </row>
    <row r="96" spans="1:26">
      <c r="C96" s="134" t="s">
        <v>2416</v>
      </c>
      <c r="D96" s="106" t="s">
        <v>140</v>
      </c>
    </row>
    <row r="97" spans="1:26">
      <c r="A97"/>
      <c r="B97"/>
      <c r="C97" s="134" t="s">
        <v>2417</v>
      </c>
      <c r="D97" s="106" t="s">
        <v>140</v>
      </c>
      <c r="F97"/>
      <c r="G97"/>
      <c r="H97"/>
      <c r="I97"/>
      <c r="J97"/>
      <c r="K97"/>
      <c r="L97"/>
      <c r="M97"/>
      <c r="N97"/>
      <c r="O97"/>
      <c r="P97"/>
      <c r="Q97"/>
      <c r="R97"/>
      <c r="S97"/>
      <c r="T97"/>
      <c r="U97"/>
      <c r="V97"/>
      <c r="W97"/>
      <c r="X97"/>
      <c r="Y97"/>
      <c r="Z97"/>
    </row>
    <row r="98" spans="1:26">
      <c r="A98"/>
      <c r="B98"/>
      <c r="C98" s="134" t="s">
        <v>2418</v>
      </c>
      <c r="D98" s="106" t="s">
        <v>140</v>
      </c>
      <c r="F98"/>
      <c r="G98"/>
      <c r="H98"/>
      <c r="I98"/>
      <c r="J98"/>
      <c r="K98"/>
      <c r="L98"/>
      <c r="M98"/>
      <c r="N98"/>
      <c r="O98"/>
      <c r="P98"/>
      <c r="Q98"/>
      <c r="R98"/>
      <c r="S98"/>
      <c r="T98"/>
      <c r="U98"/>
      <c r="V98"/>
      <c r="W98"/>
      <c r="X98"/>
      <c r="Y98"/>
      <c r="Z98"/>
    </row>
    <row r="99" spans="1:26">
      <c r="A99"/>
      <c r="B99"/>
      <c r="C99" s="134" t="s">
        <v>2427</v>
      </c>
      <c r="D99" s="106" t="s">
        <v>140</v>
      </c>
      <c r="F99"/>
      <c r="G99"/>
      <c r="H99"/>
      <c r="I99"/>
      <c r="J99"/>
      <c r="K99"/>
      <c r="L99"/>
      <c r="M99"/>
      <c r="N99"/>
      <c r="O99"/>
      <c r="P99"/>
      <c r="Q99"/>
      <c r="R99"/>
      <c r="S99"/>
      <c r="T99"/>
      <c r="U99"/>
      <c r="V99"/>
      <c r="W99"/>
      <c r="X99"/>
      <c r="Y99"/>
      <c r="Z99"/>
    </row>
    <row r="100" spans="1:26">
      <c r="A100"/>
      <c r="B100"/>
      <c r="C100" s="134" t="s">
        <v>2428</v>
      </c>
      <c r="D100" s="106" t="s">
        <v>140</v>
      </c>
      <c r="F100"/>
      <c r="G100"/>
      <c r="H100"/>
      <c r="I100"/>
      <c r="J100"/>
      <c r="K100"/>
      <c r="L100"/>
      <c r="M100"/>
      <c r="N100"/>
      <c r="O100"/>
      <c r="P100"/>
      <c r="Q100"/>
      <c r="R100"/>
      <c r="S100"/>
      <c r="T100"/>
      <c r="U100"/>
      <c r="V100"/>
      <c r="W100"/>
      <c r="X100"/>
      <c r="Y100"/>
      <c r="Z100"/>
    </row>
    <row r="101" spans="1:26">
      <c r="A101"/>
      <c r="B101"/>
      <c r="C101" s="134" t="s">
        <v>2429</v>
      </c>
      <c r="D101" s="106" t="s">
        <v>140</v>
      </c>
      <c r="F101"/>
      <c r="G101"/>
      <c r="H101"/>
      <c r="I101"/>
      <c r="J101"/>
      <c r="K101"/>
      <c r="L101"/>
      <c r="M101"/>
      <c r="N101"/>
      <c r="O101"/>
      <c r="P101"/>
      <c r="Q101"/>
      <c r="R101"/>
      <c r="S101"/>
      <c r="T101"/>
      <c r="U101"/>
      <c r="V101"/>
      <c r="W101"/>
      <c r="X101"/>
      <c r="Y101"/>
      <c r="Z101"/>
    </row>
    <row r="102" spans="1:26">
      <c r="A102"/>
      <c r="B102"/>
      <c r="C102" s="134" t="s">
        <v>2419</v>
      </c>
      <c r="D102" s="106" t="s">
        <v>140</v>
      </c>
      <c r="F102"/>
      <c r="G102"/>
      <c r="H102"/>
      <c r="I102"/>
      <c r="J102"/>
      <c r="K102"/>
      <c r="L102"/>
      <c r="M102"/>
      <c r="N102"/>
      <c r="O102"/>
      <c r="P102"/>
      <c r="Q102"/>
      <c r="R102"/>
      <c r="S102"/>
      <c r="T102"/>
      <c r="U102"/>
      <c r="V102"/>
      <c r="W102"/>
      <c r="X102"/>
      <c r="Y102"/>
      <c r="Z102"/>
    </row>
    <row r="103" spans="1:26">
      <c r="A103"/>
      <c r="B103"/>
      <c r="C103" s="134" t="s">
        <v>2420</v>
      </c>
      <c r="D103" s="106" t="s">
        <v>140</v>
      </c>
      <c r="F103"/>
      <c r="G103"/>
      <c r="H103"/>
      <c r="I103"/>
      <c r="J103"/>
      <c r="K103"/>
      <c r="L103"/>
      <c r="M103"/>
      <c r="N103"/>
      <c r="O103"/>
      <c r="P103"/>
      <c r="Q103"/>
      <c r="R103"/>
      <c r="S103"/>
      <c r="T103"/>
      <c r="U103"/>
      <c r="V103"/>
      <c r="W103"/>
      <c r="X103"/>
      <c r="Y103"/>
      <c r="Z103"/>
    </row>
    <row r="104" spans="1:26">
      <c r="A104"/>
      <c r="B104"/>
      <c r="C104" s="134" t="s">
        <v>2441</v>
      </c>
      <c r="D104" s="106" t="s">
        <v>140</v>
      </c>
      <c r="F104"/>
      <c r="G104"/>
      <c r="H104"/>
      <c r="I104"/>
      <c r="J104"/>
      <c r="K104"/>
      <c r="L104"/>
      <c r="M104"/>
      <c r="N104"/>
      <c r="O104"/>
      <c r="P104"/>
      <c r="Q104"/>
      <c r="R104"/>
      <c r="S104"/>
      <c r="T104"/>
      <c r="U104"/>
      <c r="V104"/>
      <c r="W104"/>
      <c r="X104"/>
      <c r="Y104"/>
      <c r="Z104"/>
    </row>
    <row r="105" spans="1:26">
      <c r="A105"/>
      <c r="B105"/>
      <c r="C105" s="134" t="s">
        <v>2422</v>
      </c>
      <c r="D105" s="106" t="s">
        <v>140</v>
      </c>
      <c r="F105"/>
      <c r="G105"/>
      <c r="H105"/>
      <c r="I105"/>
      <c r="J105"/>
      <c r="K105"/>
      <c r="L105"/>
      <c r="M105"/>
      <c r="N105"/>
      <c r="O105"/>
      <c r="P105"/>
      <c r="Q105"/>
      <c r="R105"/>
      <c r="S105"/>
      <c r="T105"/>
      <c r="U105"/>
      <c r="V105"/>
      <c r="W105"/>
      <c r="X105"/>
      <c r="Y105"/>
      <c r="Z105"/>
    </row>
    <row r="106" spans="1:26">
      <c r="A106"/>
      <c r="B106"/>
      <c r="C106" s="134" t="s">
        <v>2423</v>
      </c>
      <c r="D106" s="106" t="s">
        <v>140</v>
      </c>
      <c r="F106"/>
      <c r="G106"/>
      <c r="H106"/>
      <c r="I106"/>
      <c r="J106"/>
      <c r="K106"/>
      <c r="L106"/>
      <c r="M106"/>
      <c r="N106"/>
      <c r="O106"/>
      <c r="P106"/>
      <c r="Q106"/>
      <c r="R106"/>
      <c r="S106"/>
      <c r="T106"/>
      <c r="U106"/>
      <c r="V106"/>
      <c r="W106"/>
      <c r="X106"/>
      <c r="Y106"/>
      <c r="Z106"/>
    </row>
    <row r="107" spans="1:26">
      <c r="A107"/>
      <c r="B107"/>
      <c r="C107" s="134" t="s">
        <v>2430</v>
      </c>
      <c r="D107" s="106" t="s">
        <v>140</v>
      </c>
      <c r="F107"/>
      <c r="G107"/>
      <c r="H107"/>
      <c r="I107"/>
      <c r="J107"/>
      <c r="K107"/>
      <c r="L107"/>
      <c r="M107"/>
      <c r="N107"/>
      <c r="O107"/>
      <c r="P107"/>
      <c r="Q107"/>
      <c r="R107"/>
      <c r="S107"/>
      <c r="T107"/>
      <c r="U107"/>
      <c r="V107"/>
      <c r="W107"/>
      <c r="X107"/>
      <c r="Y107"/>
      <c r="Z107"/>
    </row>
    <row r="108" spans="1:26">
      <c r="A108"/>
      <c r="B108"/>
      <c r="C108" s="134" t="s">
        <v>2432</v>
      </c>
      <c r="D108" s="106" t="s">
        <v>140</v>
      </c>
      <c r="F108"/>
      <c r="G108"/>
      <c r="H108"/>
      <c r="I108"/>
      <c r="J108"/>
      <c r="K108"/>
      <c r="L108"/>
      <c r="M108"/>
      <c r="N108"/>
      <c r="O108"/>
      <c r="P108"/>
      <c r="Q108"/>
      <c r="R108"/>
      <c r="S108"/>
      <c r="T108"/>
      <c r="U108"/>
      <c r="V108"/>
      <c r="W108"/>
      <c r="X108"/>
      <c r="Y108"/>
      <c r="Z108"/>
    </row>
    <row r="109" spans="1:26">
      <c r="A109"/>
      <c r="B109"/>
      <c r="C109" s="134" t="s">
        <v>2433</v>
      </c>
      <c r="D109" s="106" t="s">
        <v>140</v>
      </c>
      <c r="F109"/>
      <c r="G109"/>
      <c r="H109"/>
      <c r="I109"/>
      <c r="J109"/>
      <c r="K109"/>
      <c r="L109"/>
      <c r="M109"/>
      <c r="N109"/>
      <c r="O109"/>
      <c r="P109"/>
      <c r="Q109"/>
      <c r="R109"/>
      <c r="S109"/>
      <c r="T109"/>
      <c r="U109"/>
      <c r="V109"/>
      <c r="W109"/>
      <c r="X109"/>
      <c r="Y109"/>
      <c r="Z109"/>
    </row>
    <row r="110" spans="1:26">
      <c r="A110"/>
      <c r="B110"/>
      <c r="C110" s="134" t="s">
        <v>2434</v>
      </c>
      <c r="D110" s="106" t="s">
        <v>140</v>
      </c>
      <c r="F110"/>
      <c r="G110"/>
      <c r="H110"/>
      <c r="I110"/>
      <c r="J110"/>
      <c r="K110"/>
      <c r="L110"/>
      <c r="M110"/>
      <c r="N110"/>
      <c r="O110"/>
      <c r="P110"/>
      <c r="Q110"/>
      <c r="R110"/>
      <c r="S110"/>
      <c r="T110"/>
      <c r="U110"/>
      <c r="V110"/>
      <c r="W110"/>
      <c r="X110"/>
      <c r="Y110"/>
      <c r="Z110"/>
    </row>
    <row r="111" spans="1:26">
      <c r="A111"/>
      <c r="B111"/>
      <c r="C111" s="134" t="s">
        <v>2436</v>
      </c>
      <c r="D111" s="106" t="s">
        <v>140</v>
      </c>
      <c r="F111"/>
      <c r="G111"/>
      <c r="H111"/>
      <c r="I111"/>
      <c r="J111"/>
      <c r="K111"/>
      <c r="L111"/>
      <c r="M111"/>
      <c r="N111"/>
      <c r="O111"/>
      <c r="P111"/>
      <c r="Q111"/>
      <c r="R111"/>
      <c r="S111"/>
      <c r="T111"/>
      <c r="U111"/>
      <c r="V111"/>
      <c r="W111"/>
      <c r="X111"/>
      <c r="Y111"/>
      <c r="Z111"/>
    </row>
    <row r="112" spans="1:26">
      <c r="A112"/>
      <c r="B112"/>
      <c r="C112" s="134" t="s">
        <v>2437</v>
      </c>
      <c r="D112" s="106" t="s">
        <v>140</v>
      </c>
      <c r="F112"/>
      <c r="G112"/>
      <c r="H112"/>
      <c r="I112"/>
      <c r="J112"/>
      <c r="K112"/>
      <c r="L112"/>
      <c r="M112"/>
      <c r="N112"/>
      <c r="O112"/>
      <c r="P112"/>
      <c r="Q112"/>
      <c r="R112"/>
      <c r="S112"/>
      <c r="T112"/>
      <c r="U112"/>
      <c r="V112"/>
      <c r="W112"/>
      <c r="X112"/>
      <c r="Y112"/>
      <c r="Z112"/>
    </row>
    <row r="113" spans="1:26" ht="56.25" customHeight="1">
      <c r="B113" s="50" t="s">
        <v>2442</v>
      </c>
      <c r="C113" s="134" t="s">
        <v>2548</v>
      </c>
      <c r="D113" s="106" t="s">
        <v>140</v>
      </c>
      <c r="E113" s="106">
        <v>99</v>
      </c>
    </row>
    <row r="114" spans="1:26">
      <c r="C114" s="134" t="s">
        <v>2415</v>
      </c>
      <c r="D114" s="106" t="s">
        <v>140</v>
      </c>
    </row>
    <row r="115" spans="1:26">
      <c r="A115"/>
      <c r="B115"/>
      <c r="C115" s="134" t="s">
        <v>2416</v>
      </c>
      <c r="D115" s="106" t="s">
        <v>140</v>
      </c>
      <c r="F115"/>
      <c r="G115"/>
      <c r="H115"/>
      <c r="I115"/>
      <c r="J115"/>
      <c r="K115"/>
      <c r="L115"/>
      <c r="M115"/>
      <c r="N115"/>
      <c r="O115"/>
      <c r="P115"/>
      <c r="Q115"/>
      <c r="R115"/>
      <c r="S115"/>
      <c r="T115"/>
      <c r="U115"/>
      <c r="V115"/>
      <c r="W115"/>
      <c r="X115"/>
      <c r="Y115"/>
      <c r="Z115"/>
    </row>
    <row r="116" spans="1:26">
      <c r="A116"/>
      <c r="B116"/>
      <c r="C116" s="134" t="s">
        <v>2417</v>
      </c>
      <c r="D116" s="106" t="s">
        <v>140</v>
      </c>
      <c r="F116"/>
      <c r="G116"/>
      <c r="H116"/>
      <c r="I116"/>
      <c r="J116"/>
      <c r="K116"/>
      <c r="L116"/>
      <c r="M116"/>
      <c r="N116"/>
      <c r="O116"/>
      <c r="P116"/>
      <c r="Q116"/>
      <c r="R116"/>
      <c r="S116"/>
      <c r="T116"/>
      <c r="U116"/>
      <c r="V116"/>
      <c r="W116"/>
      <c r="X116"/>
      <c r="Y116"/>
      <c r="Z116"/>
    </row>
    <row r="117" spans="1:26">
      <c r="A117"/>
      <c r="B117"/>
      <c r="C117" s="134" t="s">
        <v>2418</v>
      </c>
      <c r="D117" s="106" t="s">
        <v>140</v>
      </c>
      <c r="F117"/>
      <c r="G117"/>
      <c r="H117"/>
      <c r="I117"/>
      <c r="J117"/>
      <c r="K117"/>
      <c r="L117"/>
      <c r="M117"/>
      <c r="N117"/>
      <c r="O117"/>
      <c r="P117"/>
      <c r="Q117"/>
      <c r="R117"/>
      <c r="S117"/>
      <c r="T117"/>
      <c r="U117"/>
      <c r="V117"/>
      <c r="W117"/>
      <c r="X117"/>
      <c r="Y117"/>
      <c r="Z117"/>
    </row>
    <row r="118" spans="1:26">
      <c r="A118"/>
      <c r="B118"/>
      <c r="C118" s="134" t="s">
        <v>2419</v>
      </c>
      <c r="D118" s="106" t="s">
        <v>140</v>
      </c>
      <c r="F118"/>
      <c r="G118"/>
      <c r="H118"/>
      <c r="I118"/>
      <c r="J118"/>
      <c r="K118"/>
      <c r="L118"/>
      <c r="M118"/>
      <c r="N118"/>
      <c r="O118"/>
      <c r="P118"/>
      <c r="Q118"/>
      <c r="R118"/>
      <c r="S118"/>
      <c r="T118"/>
      <c r="U118"/>
      <c r="V118"/>
      <c r="W118"/>
      <c r="X118"/>
      <c r="Y118"/>
      <c r="Z118"/>
    </row>
    <row r="119" spans="1:26">
      <c r="A119"/>
      <c r="B119"/>
      <c r="C119" s="134" t="s">
        <v>2420</v>
      </c>
      <c r="D119" s="106" t="s">
        <v>140</v>
      </c>
      <c r="F119"/>
      <c r="G119"/>
      <c r="H119"/>
      <c r="I119"/>
      <c r="J119"/>
      <c r="K119"/>
      <c r="L119"/>
      <c r="M119"/>
      <c r="N119"/>
      <c r="O119"/>
      <c r="P119"/>
      <c r="Q119"/>
      <c r="R119"/>
      <c r="S119"/>
      <c r="T119"/>
      <c r="U119"/>
      <c r="V119"/>
      <c r="W119"/>
      <c r="X119"/>
      <c r="Y119"/>
      <c r="Z119"/>
    </row>
    <row r="120" spans="1:26">
      <c r="A120"/>
      <c r="B120"/>
      <c r="C120" s="134" t="s">
        <v>2421</v>
      </c>
      <c r="D120" s="106" t="s">
        <v>140</v>
      </c>
      <c r="F120"/>
      <c r="G120"/>
      <c r="H120"/>
      <c r="I120"/>
      <c r="J120"/>
      <c r="K120"/>
      <c r="L120"/>
      <c r="M120"/>
      <c r="N120"/>
      <c r="O120"/>
      <c r="P120"/>
      <c r="Q120"/>
      <c r="R120"/>
      <c r="S120"/>
      <c r="T120"/>
      <c r="U120"/>
      <c r="V120"/>
      <c r="W120"/>
      <c r="X120"/>
      <c r="Y120"/>
      <c r="Z120"/>
    </row>
    <row r="121" spans="1:26">
      <c r="A121"/>
      <c r="B121"/>
      <c r="C121" s="134" t="s">
        <v>2422</v>
      </c>
      <c r="D121" s="106" t="s">
        <v>140</v>
      </c>
      <c r="F121"/>
      <c r="G121"/>
      <c r="H121"/>
      <c r="I121"/>
      <c r="J121"/>
      <c r="K121"/>
      <c r="L121"/>
      <c r="M121"/>
      <c r="N121"/>
      <c r="O121"/>
      <c r="P121"/>
      <c r="Q121"/>
      <c r="R121"/>
      <c r="S121"/>
      <c r="T121"/>
      <c r="U121"/>
      <c r="V121"/>
      <c r="W121"/>
      <c r="X121"/>
      <c r="Y121"/>
      <c r="Z121"/>
    </row>
    <row r="122" spans="1:26">
      <c r="A122"/>
      <c r="B122"/>
      <c r="C122" s="134" t="s">
        <v>2430</v>
      </c>
      <c r="D122" s="106" t="s">
        <v>140</v>
      </c>
      <c r="F122"/>
      <c r="G122"/>
      <c r="H122"/>
      <c r="I122"/>
      <c r="J122"/>
      <c r="K122"/>
      <c r="L122"/>
      <c r="M122"/>
      <c r="N122"/>
      <c r="O122"/>
      <c r="P122"/>
      <c r="Q122"/>
      <c r="R122"/>
      <c r="S122"/>
      <c r="T122"/>
      <c r="U122"/>
      <c r="V122"/>
      <c r="W122"/>
      <c r="X122"/>
      <c r="Y122"/>
      <c r="Z122"/>
    </row>
    <row r="123" spans="1:26" ht="59.25" customHeight="1">
      <c r="B123" s="50" t="s">
        <v>2443</v>
      </c>
      <c r="C123" s="134" t="s">
        <v>2549</v>
      </c>
      <c r="D123" s="106" t="s">
        <v>140</v>
      </c>
      <c r="E123" s="106">
        <v>86</v>
      </c>
    </row>
    <row r="124" spans="1:26">
      <c r="C124" s="134" t="s">
        <v>2425</v>
      </c>
      <c r="D124" s="106" t="s">
        <v>140</v>
      </c>
    </row>
    <row r="125" spans="1:26">
      <c r="C125" s="134" t="s">
        <v>2426</v>
      </c>
      <c r="D125" s="106" t="s">
        <v>140</v>
      </c>
    </row>
    <row r="126" spans="1:26">
      <c r="A126"/>
      <c r="B126"/>
      <c r="C126" s="134" t="s">
        <v>2427</v>
      </c>
      <c r="D126" s="106" t="s">
        <v>140</v>
      </c>
      <c r="E126"/>
      <c r="F126"/>
      <c r="G126"/>
      <c r="H126"/>
      <c r="I126"/>
      <c r="J126"/>
      <c r="K126"/>
      <c r="L126"/>
      <c r="M126"/>
      <c r="N126"/>
      <c r="O126"/>
      <c r="P126"/>
      <c r="Q126"/>
      <c r="R126"/>
      <c r="S126"/>
      <c r="T126"/>
      <c r="U126"/>
      <c r="V126"/>
      <c r="W126"/>
      <c r="X126"/>
      <c r="Y126"/>
      <c r="Z126"/>
    </row>
    <row r="127" spans="1:26">
      <c r="A127"/>
      <c r="B127"/>
      <c r="C127" s="134" t="s">
        <v>2428</v>
      </c>
      <c r="D127" s="106" t="s">
        <v>140</v>
      </c>
      <c r="E127"/>
      <c r="F127"/>
      <c r="G127"/>
      <c r="H127"/>
      <c r="I127"/>
      <c r="J127"/>
      <c r="K127"/>
      <c r="L127"/>
      <c r="M127"/>
      <c r="N127"/>
      <c r="O127"/>
      <c r="P127"/>
      <c r="Q127"/>
      <c r="R127"/>
      <c r="S127"/>
      <c r="T127"/>
      <c r="U127"/>
      <c r="V127"/>
      <c r="W127"/>
      <c r="X127"/>
      <c r="Y127"/>
      <c r="Z127"/>
    </row>
    <row r="128" spans="1:26">
      <c r="A128"/>
      <c r="B128"/>
      <c r="C128" s="134" t="s">
        <v>2429</v>
      </c>
      <c r="D128" s="106" t="s">
        <v>140</v>
      </c>
      <c r="E128"/>
      <c r="F128"/>
      <c r="G128"/>
      <c r="H128"/>
      <c r="I128"/>
      <c r="J128"/>
      <c r="K128"/>
      <c r="L128"/>
      <c r="M128"/>
      <c r="N128"/>
      <c r="O128"/>
      <c r="P128"/>
      <c r="Q128"/>
      <c r="R128"/>
      <c r="S128"/>
      <c r="T128"/>
      <c r="U128"/>
      <c r="V128"/>
      <c r="W128"/>
      <c r="X128"/>
      <c r="Y128"/>
      <c r="Z128"/>
    </row>
    <row r="129" spans="1:26" ht="69.75" customHeight="1">
      <c r="A129"/>
      <c r="B129" s="50" t="s">
        <v>2444</v>
      </c>
      <c r="C129" s="134" t="s">
        <v>2550</v>
      </c>
      <c r="D129" s="106" t="s">
        <v>140</v>
      </c>
      <c r="E129" s="106">
        <v>174</v>
      </c>
      <c r="F129"/>
      <c r="G129"/>
      <c r="H129"/>
      <c r="I129"/>
      <c r="J129"/>
      <c r="K129"/>
      <c r="L129"/>
      <c r="M129"/>
      <c r="N129"/>
      <c r="O129"/>
      <c r="P129"/>
      <c r="Q129"/>
      <c r="R129"/>
      <c r="S129"/>
      <c r="T129"/>
      <c r="U129"/>
      <c r="V129"/>
      <c r="W129"/>
      <c r="X129"/>
      <c r="Y129"/>
      <c r="Z129"/>
    </row>
    <row r="130" spans="1:26">
      <c r="A130"/>
      <c r="B130"/>
      <c r="C130" s="134" t="s">
        <v>2432</v>
      </c>
      <c r="D130" s="106" t="s">
        <v>140</v>
      </c>
      <c r="E130"/>
      <c r="F130"/>
      <c r="G130"/>
      <c r="H130"/>
      <c r="I130"/>
      <c r="J130"/>
      <c r="K130"/>
      <c r="L130"/>
      <c r="M130"/>
      <c r="N130"/>
      <c r="O130"/>
      <c r="P130"/>
      <c r="Q130"/>
      <c r="R130"/>
      <c r="S130"/>
      <c r="T130"/>
      <c r="U130"/>
      <c r="V130"/>
      <c r="W130"/>
      <c r="X130"/>
      <c r="Y130"/>
      <c r="Z130"/>
    </row>
    <row r="131" spans="1:26">
      <c r="A131"/>
      <c r="B131"/>
      <c r="C131" s="134" t="s">
        <v>2433</v>
      </c>
      <c r="D131" s="106" t="s">
        <v>140</v>
      </c>
      <c r="E131"/>
      <c r="F131"/>
      <c r="G131"/>
      <c r="H131"/>
      <c r="I131"/>
      <c r="J131"/>
      <c r="K131"/>
      <c r="L131"/>
      <c r="M131"/>
      <c r="N131"/>
      <c r="O131"/>
      <c r="P131"/>
      <c r="Q131"/>
      <c r="R131"/>
      <c r="S131"/>
      <c r="T131"/>
      <c r="U131"/>
      <c r="V131"/>
      <c r="W131"/>
      <c r="X131"/>
      <c r="Y131"/>
      <c r="Z131"/>
    </row>
    <row r="132" spans="1:26">
      <c r="A132"/>
      <c r="B132"/>
      <c r="C132" s="134" t="s">
        <v>2434</v>
      </c>
      <c r="D132" s="106" t="s">
        <v>140</v>
      </c>
      <c r="E132"/>
      <c r="F132"/>
      <c r="G132"/>
      <c r="H132"/>
      <c r="I132"/>
      <c r="J132"/>
      <c r="K132"/>
      <c r="L132"/>
      <c r="M132"/>
      <c r="N132"/>
      <c r="O132"/>
      <c r="P132"/>
      <c r="Q132"/>
      <c r="R132"/>
      <c r="S132"/>
      <c r="T132"/>
      <c r="U132"/>
      <c r="V132"/>
      <c r="W132"/>
      <c r="X132"/>
      <c r="Y132"/>
      <c r="Z132"/>
    </row>
    <row r="133" spans="1:26" ht="63.75">
      <c r="A133"/>
      <c r="B133" s="50" t="s">
        <v>2445</v>
      </c>
      <c r="C133" s="134" t="s">
        <v>2551</v>
      </c>
      <c r="D133" s="106" t="s">
        <v>140</v>
      </c>
      <c r="E133" s="106">
        <v>18</v>
      </c>
      <c r="F133"/>
      <c r="G133"/>
      <c r="H133"/>
      <c r="I133"/>
      <c r="J133"/>
      <c r="K133"/>
      <c r="L133"/>
      <c r="M133"/>
      <c r="N133"/>
      <c r="O133"/>
      <c r="P133"/>
      <c r="Q133"/>
      <c r="R133"/>
      <c r="S133"/>
      <c r="T133"/>
      <c r="U133"/>
      <c r="V133"/>
      <c r="W133"/>
      <c r="X133"/>
      <c r="Y133"/>
      <c r="Z133"/>
    </row>
    <row r="134" spans="1:26">
      <c r="A134"/>
      <c r="B134"/>
      <c r="C134" s="134" t="s">
        <v>2436</v>
      </c>
      <c r="D134" s="106" t="s">
        <v>140</v>
      </c>
      <c r="E134"/>
      <c r="F134"/>
      <c r="G134"/>
      <c r="H134"/>
      <c r="I134"/>
      <c r="J134"/>
      <c r="K134"/>
      <c r="L134"/>
      <c r="M134"/>
      <c r="N134"/>
      <c r="O134"/>
      <c r="P134"/>
      <c r="Q134"/>
      <c r="R134"/>
      <c r="S134"/>
      <c r="T134"/>
      <c r="U134"/>
      <c r="V134"/>
      <c r="W134"/>
      <c r="X134"/>
      <c r="Y134"/>
      <c r="Z134"/>
    </row>
    <row r="135" spans="1:26">
      <c r="A135"/>
      <c r="B135"/>
      <c r="C135" s="134" t="s">
        <v>2437</v>
      </c>
      <c r="D135" s="106" t="s">
        <v>140</v>
      </c>
      <c r="E135"/>
      <c r="F135"/>
      <c r="G135"/>
      <c r="H135"/>
      <c r="I135"/>
      <c r="J135"/>
      <c r="K135"/>
      <c r="L135"/>
      <c r="M135"/>
      <c r="N135"/>
      <c r="O135"/>
      <c r="P135"/>
      <c r="Q135"/>
      <c r="R135"/>
      <c r="S135"/>
      <c r="T135"/>
      <c r="U135"/>
      <c r="V135"/>
      <c r="W135"/>
      <c r="X135"/>
      <c r="Y135"/>
      <c r="Z135"/>
    </row>
    <row r="136" spans="1:26" ht="90" customHeight="1">
      <c r="B136" s="50" t="s">
        <v>2446</v>
      </c>
      <c r="C136" s="134" t="s">
        <v>2552</v>
      </c>
      <c r="D136" s="106" t="s">
        <v>140</v>
      </c>
      <c r="E136" s="106">
        <v>568</v>
      </c>
    </row>
    <row r="137" spans="1:26">
      <c r="C137" s="134" t="s">
        <v>2425</v>
      </c>
      <c r="D137" s="106" t="s">
        <v>140</v>
      </c>
    </row>
    <row r="138" spans="1:26">
      <c r="C138" s="134" t="s">
        <v>2415</v>
      </c>
      <c r="D138" s="106" t="s">
        <v>140</v>
      </c>
    </row>
    <row r="139" spans="1:26">
      <c r="C139" s="134" t="s">
        <v>2426</v>
      </c>
      <c r="D139" s="106" t="s">
        <v>140</v>
      </c>
    </row>
    <row r="140" spans="1:26">
      <c r="A140"/>
      <c r="B140"/>
      <c r="C140" s="134" t="s">
        <v>2416</v>
      </c>
      <c r="D140" s="106" t="s">
        <v>140</v>
      </c>
      <c r="F140"/>
      <c r="G140"/>
      <c r="H140"/>
      <c r="I140"/>
      <c r="J140"/>
      <c r="K140"/>
      <c r="L140"/>
      <c r="M140"/>
      <c r="N140"/>
      <c r="O140"/>
      <c r="P140"/>
      <c r="Q140"/>
      <c r="R140"/>
      <c r="S140"/>
      <c r="T140"/>
      <c r="U140"/>
      <c r="V140"/>
      <c r="W140"/>
      <c r="X140"/>
      <c r="Y140"/>
      <c r="Z140"/>
    </row>
    <row r="141" spans="1:26">
      <c r="A141"/>
      <c r="B141"/>
      <c r="C141" s="134" t="s">
        <v>2417</v>
      </c>
      <c r="D141" s="106" t="s">
        <v>140</v>
      </c>
      <c r="F141"/>
      <c r="G141"/>
      <c r="H141"/>
      <c r="I141"/>
      <c r="J141"/>
      <c r="K141"/>
      <c r="L141"/>
      <c r="M141"/>
      <c r="N141"/>
      <c r="O141"/>
      <c r="P141"/>
      <c r="Q141"/>
      <c r="R141"/>
      <c r="S141"/>
      <c r="T141"/>
      <c r="U141"/>
      <c r="V141"/>
      <c r="W141"/>
      <c r="X141"/>
      <c r="Y141"/>
      <c r="Z141"/>
    </row>
    <row r="142" spans="1:26">
      <c r="A142"/>
      <c r="B142"/>
      <c r="C142" s="134" t="s">
        <v>2418</v>
      </c>
      <c r="D142" s="106" t="s">
        <v>140</v>
      </c>
      <c r="F142"/>
      <c r="G142"/>
      <c r="H142"/>
      <c r="I142"/>
      <c r="J142"/>
      <c r="K142"/>
      <c r="L142"/>
      <c r="M142"/>
      <c r="N142"/>
      <c r="O142"/>
      <c r="P142"/>
      <c r="Q142"/>
      <c r="R142"/>
      <c r="S142"/>
      <c r="T142"/>
      <c r="U142"/>
      <c r="V142"/>
      <c r="W142"/>
      <c r="X142"/>
      <c r="Y142"/>
      <c r="Z142"/>
    </row>
    <row r="143" spans="1:26">
      <c r="A143"/>
      <c r="B143"/>
      <c r="C143" s="134" t="s">
        <v>2427</v>
      </c>
      <c r="D143" s="106" t="s">
        <v>140</v>
      </c>
      <c r="F143"/>
      <c r="G143"/>
      <c r="H143"/>
      <c r="I143"/>
      <c r="J143"/>
      <c r="K143"/>
      <c r="L143"/>
      <c r="M143"/>
      <c r="N143"/>
      <c r="O143"/>
      <c r="P143"/>
      <c r="Q143"/>
      <c r="R143"/>
      <c r="S143"/>
      <c r="T143"/>
      <c r="U143"/>
      <c r="V143"/>
      <c r="W143"/>
      <c r="X143"/>
      <c r="Y143"/>
      <c r="Z143"/>
    </row>
    <row r="144" spans="1:26">
      <c r="A144"/>
      <c r="B144"/>
      <c r="C144" s="134" t="s">
        <v>2428</v>
      </c>
      <c r="D144" s="106" t="s">
        <v>140</v>
      </c>
      <c r="F144"/>
      <c r="G144"/>
      <c r="H144"/>
      <c r="I144"/>
      <c r="J144"/>
      <c r="K144"/>
      <c r="L144"/>
      <c r="M144"/>
      <c r="N144"/>
      <c r="O144"/>
      <c r="P144"/>
      <c r="Q144"/>
      <c r="R144"/>
      <c r="S144"/>
      <c r="T144"/>
      <c r="U144"/>
      <c r="V144"/>
      <c r="W144"/>
      <c r="X144"/>
      <c r="Y144"/>
      <c r="Z144"/>
    </row>
    <row r="145" spans="1:26">
      <c r="A145"/>
      <c r="B145"/>
      <c r="C145" s="134" t="s">
        <v>2429</v>
      </c>
      <c r="D145" s="106" t="s">
        <v>140</v>
      </c>
      <c r="F145"/>
      <c r="G145"/>
      <c r="H145"/>
      <c r="I145"/>
      <c r="J145"/>
      <c r="K145"/>
      <c r="L145"/>
      <c r="M145"/>
      <c r="N145"/>
      <c r="O145"/>
      <c r="P145"/>
      <c r="Q145"/>
      <c r="R145"/>
      <c r="S145"/>
      <c r="T145"/>
      <c r="U145"/>
      <c r="V145"/>
      <c r="W145"/>
      <c r="X145"/>
      <c r="Y145"/>
      <c r="Z145"/>
    </row>
    <row r="146" spans="1:26">
      <c r="A146"/>
      <c r="B146"/>
      <c r="C146" s="134" t="s">
        <v>2419</v>
      </c>
      <c r="D146" s="106" t="s">
        <v>140</v>
      </c>
      <c r="F146"/>
      <c r="G146"/>
      <c r="H146"/>
      <c r="I146"/>
      <c r="J146"/>
      <c r="K146"/>
      <c r="L146"/>
      <c r="M146"/>
      <c r="N146"/>
      <c r="O146"/>
      <c r="P146"/>
      <c r="Q146"/>
      <c r="R146"/>
      <c r="S146"/>
      <c r="T146"/>
      <c r="U146"/>
      <c r="V146"/>
      <c r="W146"/>
      <c r="X146"/>
      <c r="Y146"/>
      <c r="Z146"/>
    </row>
    <row r="147" spans="1:26">
      <c r="A147"/>
      <c r="B147"/>
      <c r="C147" s="134" t="s">
        <v>2420</v>
      </c>
      <c r="D147" s="106" t="s">
        <v>140</v>
      </c>
      <c r="F147"/>
      <c r="G147"/>
      <c r="H147"/>
      <c r="I147"/>
      <c r="J147"/>
      <c r="K147"/>
      <c r="L147"/>
      <c r="M147"/>
      <c r="N147"/>
      <c r="O147"/>
      <c r="P147"/>
      <c r="Q147"/>
      <c r="R147"/>
      <c r="S147"/>
      <c r="T147"/>
      <c r="U147"/>
      <c r="V147"/>
      <c r="W147"/>
      <c r="X147"/>
      <c r="Y147"/>
      <c r="Z147"/>
    </row>
    <row r="148" spans="1:26">
      <c r="A148"/>
      <c r="B148"/>
      <c r="C148" s="134" t="s">
        <v>2421</v>
      </c>
      <c r="D148" s="106" t="s">
        <v>140</v>
      </c>
      <c r="F148"/>
      <c r="G148"/>
      <c r="H148"/>
      <c r="I148"/>
      <c r="J148"/>
      <c r="K148"/>
      <c r="L148"/>
      <c r="M148"/>
      <c r="N148"/>
      <c r="O148"/>
      <c r="P148"/>
      <c r="Q148"/>
      <c r="R148"/>
      <c r="S148"/>
      <c r="T148"/>
      <c r="U148"/>
      <c r="V148"/>
      <c r="W148"/>
      <c r="X148"/>
      <c r="Y148"/>
      <c r="Z148"/>
    </row>
    <row r="149" spans="1:26">
      <c r="A149"/>
      <c r="B149"/>
      <c r="C149" s="134" t="s">
        <v>2422</v>
      </c>
      <c r="D149" s="106" t="s">
        <v>140</v>
      </c>
      <c r="F149"/>
      <c r="G149"/>
      <c r="H149"/>
      <c r="I149"/>
      <c r="J149"/>
      <c r="K149"/>
      <c r="L149"/>
      <c r="M149"/>
      <c r="N149"/>
      <c r="O149"/>
      <c r="P149"/>
      <c r="Q149"/>
      <c r="R149"/>
      <c r="S149"/>
      <c r="T149"/>
      <c r="U149"/>
      <c r="V149"/>
      <c r="W149"/>
      <c r="X149"/>
      <c r="Y149"/>
      <c r="Z149"/>
    </row>
    <row r="150" spans="1:26">
      <c r="A150"/>
      <c r="B150"/>
      <c r="C150" s="134" t="s">
        <v>2423</v>
      </c>
      <c r="D150" s="106" t="s">
        <v>140</v>
      </c>
      <c r="F150"/>
      <c r="G150"/>
      <c r="H150"/>
      <c r="I150"/>
      <c r="J150"/>
      <c r="K150"/>
      <c r="L150"/>
      <c r="M150"/>
      <c r="N150"/>
      <c r="O150"/>
      <c r="P150"/>
      <c r="Q150"/>
      <c r="R150"/>
      <c r="S150"/>
      <c r="T150"/>
      <c r="U150"/>
      <c r="V150"/>
      <c r="W150"/>
      <c r="X150"/>
      <c r="Y150"/>
      <c r="Z150"/>
    </row>
    <row r="151" spans="1:26">
      <c r="A151"/>
      <c r="B151"/>
      <c r="C151" s="134" t="s">
        <v>2430</v>
      </c>
      <c r="D151" s="106" t="s">
        <v>140</v>
      </c>
      <c r="F151"/>
      <c r="G151"/>
      <c r="H151"/>
      <c r="I151"/>
      <c r="J151"/>
      <c r="K151"/>
      <c r="L151"/>
      <c r="M151"/>
      <c r="N151"/>
      <c r="O151"/>
      <c r="P151"/>
      <c r="Q151"/>
      <c r="R151"/>
      <c r="S151"/>
      <c r="T151"/>
      <c r="U151"/>
      <c r="V151"/>
      <c r="W151"/>
      <c r="X151"/>
      <c r="Y151"/>
      <c r="Z151"/>
    </row>
    <row r="152" spans="1:26">
      <c r="A152"/>
      <c r="B152"/>
      <c r="C152" s="134" t="s">
        <v>2432</v>
      </c>
      <c r="D152" s="106" t="s">
        <v>140</v>
      </c>
      <c r="F152"/>
      <c r="G152"/>
      <c r="H152"/>
      <c r="I152"/>
      <c r="J152"/>
      <c r="K152"/>
      <c r="L152"/>
      <c r="M152"/>
      <c r="N152"/>
      <c r="O152"/>
      <c r="P152"/>
      <c r="Q152"/>
      <c r="R152"/>
      <c r="S152"/>
      <c r="T152"/>
      <c r="U152"/>
      <c r="V152"/>
      <c r="W152"/>
      <c r="X152"/>
      <c r="Y152"/>
      <c r="Z152"/>
    </row>
    <row r="153" spans="1:26">
      <c r="A153"/>
      <c r="B153"/>
      <c r="C153" s="134" t="s">
        <v>2433</v>
      </c>
      <c r="D153" s="106" t="s">
        <v>140</v>
      </c>
      <c r="F153"/>
      <c r="G153"/>
      <c r="H153"/>
      <c r="I153"/>
      <c r="J153"/>
      <c r="K153"/>
      <c r="L153"/>
      <c r="M153"/>
      <c r="N153"/>
      <c r="O153"/>
      <c r="P153"/>
      <c r="Q153"/>
      <c r="R153"/>
      <c r="S153"/>
      <c r="T153"/>
      <c r="U153"/>
      <c r="V153"/>
      <c r="W153"/>
      <c r="X153"/>
      <c r="Y153"/>
      <c r="Z153"/>
    </row>
    <row r="154" spans="1:26">
      <c r="A154"/>
      <c r="B154"/>
      <c r="C154" s="134" t="s">
        <v>2434</v>
      </c>
      <c r="D154" s="106" t="s">
        <v>140</v>
      </c>
      <c r="F154"/>
      <c r="G154"/>
      <c r="H154"/>
      <c r="I154"/>
      <c r="J154"/>
      <c r="K154"/>
      <c r="L154"/>
      <c r="M154"/>
      <c r="N154"/>
      <c r="O154"/>
      <c r="P154"/>
      <c r="Q154"/>
      <c r="R154"/>
      <c r="S154"/>
      <c r="T154"/>
      <c r="U154"/>
      <c r="V154"/>
      <c r="W154"/>
      <c r="X154"/>
      <c r="Y154"/>
      <c r="Z154"/>
    </row>
    <row r="155" spans="1:26">
      <c r="A155"/>
      <c r="B155"/>
      <c r="C155" s="134" t="s">
        <v>2436</v>
      </c>
      <c r="D155" s="106" t="s">
        <v>140</v>
      </c>
      <c r="F155"/>
      <c r="G155"/>
      <c r="H155"/>
      <c r="I155"/>
      <c r="J155"/>
      <c r="K155"/>
      <c r="L155"/>
      <c r="M155"/>
      <c r="N155"/>
      <c r="O155"/>
      <c r="P155"/>
      <c r="Q155"/>
      <c r="R155"/>
      <c r="S155"/>
      <c r="T155"/>
      <c r="U155"/>
      <c r="V155"/>
      <c r="W155"/>
      <c r="X155"/>
      <c r="Y155"/>
      <c r="Z155"/>
    </row>
    <row r="156" spans="1:26">
      <c r="A156"/>
      <c r="B156"/>
      <c r="C156" s="134" t="s">
        <v>2437</v>
      </c>
      <c r="D156" s="106" t="s">
        <v>140</v>
      </c>
      <c r="F156"/>
      <c r="G156"/>
      <c r="H156"/>
      <c r="I156"/>
      <c r="J156"/>
      <c r="K156"/>
      <c r="L156"/>
      <c r="M156"/>
      <c r="N156"/>
      <c r="O156"/>
      <c r="P156"/>
      <c r="Q156"/>
      <c r="R156"/>
      <c r="S156"/>
      <c r="T156"/>
      <c r="U156"/>
      <c r="V156"/>
      <c r="W156"/>
      <c r="X156"/>
      <c r="Y156"/>
      <c r="Z156"/>
    </row>
    <row r="157" spans="1:26" ht="75.75" customHeight="1">
      <c r="B157" s="50" t="s">
        <v>2447</v>
      </c>
      <c r="C157" s="134" t="s">
        <v>2553</v>
      </c>
      <c r="D157" s="106" t="s">
        <v>140</v>
      </c>
      <c r="E157" s="106">
        <v>114</v>
      </c>
    </row>
    <row r="158" spans="1:26">
      <c r="C158" s="134" t="s">
        <v>2415</v>
      </c>
      <c r="D158" s="106" t="s">
        <v>140</v>
      </c>
    </row>
    <row r="159" spans="1:26">
      <c r="A159"/>
      <c r="B159"/>
      <c r="C159" s="134" t="s">
        <v>2417</v>
      </c>
      <c r="D159" s="106" t="s">
        <v>140</v>
      </c>
      <c r="F159"/>
      <c r="G159"/>
      <c r="H159"/>
      <c r="I159"/>
      <c r="J159"/>
      <c r="K159"/>
      <c r="L159"/>
      <c r="M159"/>
      <c r="N159"/>
      <c r="O159"/>
      <c r="P159"/>
      <c r="Q159"/>
      <c r="R159"/>
      <c r="S159"/>
      <c r="T159"/>
      <c r="U159"/>
      <c r="V159"/>
      <c r="W159"/>
      <c r="X159"/>
      <c r="Y159"/>
      <c r="Z159"/>
    </row>
    <row r="160" spans="1:26">
      <c r="A160"/>
      <c r="B160"/>
      <c r="C160" s="134" t="s">
        <v>2420</v>
      </c>
      <c r="D160" s="106" t="s">
        <v>140</v>
      </c>
      <c r="F160"/>
      <c r="G160"/>
      <c r="H160"/>
      <c r="I160"/>
      <c r="J160"/>
      <c r="K160"/>
      <c r="L160"/>
      <c r="M160"/>
      <c r="N160"/>
      <c r="O160"/>
      <c r="P160"/>
      <c r="Q160"/>
      <c r="R160"/>
      <c r="S160"/>
      <c r="T160"/>
      <c r="U160"/>
      <c r="V160"/>
      <c r="W160"/>
      <c r="X160"/>
      <c r="Y160"/>
      <c r="Z160"/>
    </row>
    <row r="161" spans="1:26">
      <c r="A161"/>
      <c r="B161"/>
      <c r="C161" s="134" t="s">
        <v>2421</v>
      </c>
      <c r="D161" s="106" t="s">
        <v>140</v>
      </c>
      <c r="F161"/>
      <c r="G161"/>
      <c r="H161"/>
      <c r="I161"/>
      <c r="J161"/>
      <c r="K161"/>
      <c r="L161"/>
      <c r="M161"/>
      <c r="N161"/>
      <c r="O161"/>
      <c r="P161"/>
      <c r="Q161"/>
      <c r="R161"/>
      <c r="S161"/>
      <c r="T161"/>
      <c r="U161"/>
      <c r="V161"/>
      <c r="W161"/>
      <c r="X161"/>
      <c r="Y161"/>
      <c r="Z161"/>
    </row>
    <row r="162" spans="1:26">
      <c r="A162"/>
      <c r="B162"/>
      <c r="C162" s="134" t="s">
        <v>2432</v>
      </c>
      <c r="D162" s="106" t="s">
        <v>140</v>
      </c>
      <c r="F162"/>
      <c r="G162"/>
      <c r="H162"/>
      <c r="I162"/>
      <c r="J162"/>
      <c r="K162"/>
      <c r="L162"/>
      <c r="M162"/>
      <c r="N162"/>
      <c r="O162"/>
      <c r="P162"/>
      <c r="Q162"/>
      <c r="R162"/>
      <c r="S162"/>
      <c r="T162"/>
      <c r="U162"/>
      <c r="V162"/>
      <c r="W162"/>
      <c r="X162"/>
      <c r="Y162"/>
      <c r="Z162"/>
    </row>
    <row r="163" spans="1:26" ht="72.75" customHeight="1">
      <c r="B163" s="50" t="s">
        <v>2448</v>
      </c>
      <c r="C163" s="134" t="s">
        <v>2554</v>
      </c>
      <c r="D163" s="106" t="s">
        <v>140</v>
      </c>
      <c r="E163" s="106">
        <v>89</v>
      </c>
    </row>
    <row r="164" spans="1:26">
      <c r="C164" s="134" t="s">
        <v>2425</v>
      </c>
      <c r="D164" s="106" t="s">
        <v>140</v>
      </c>
    </row>
    <row r="165" spans="1:26">
      <c r="C165" s="134" t="s">
        <v>2426</v>
      </c>
      <c r="D165" s="106" t="s">
        <v>140</v>
      </c>
    </row>
    <row r="166" spans="1:26">
      <c r="A166"/>
      <c r="B166"/>
      <c r="C166" s="134" t="s">
        <v>2428</v>
      </c>
      <c r="D166" s="106" t="s">
        <v>140</v>
      </c>
      <c r="F166"/>
      <c r="G166"/>
      <c r="H166"/>
      <c r="I166"/>
      <c r="J166"/>
      <c r="K166"/>
      <c r="L166"/>
      <c r="M166"/>
      <c r="N166"/>
      <c r="O166"/>
      <c r="P166"/>
      <c r="Q166"/>
      <c r="R166"/>
      <c r="S166"/>
      <c r="T166"/>
      <c r="U166"/>
      <c r="V166"/>
      <c r="W166"/>
      <c r="X166"/>
      <c r="Y166"/>
      <c r="Z166"/>
    </row>
    <row r="167" spans="1:26">
      <c r="A167"/>
      <c r="B167"/>
      <c r="C167" s="134" t="s">
        <v>2429</v>
      </c>
      <c r="D167" s="106" t="s">
        <v>140</v>
      </c>
      <c r="F167"/>
      <c r="G167"/>
      <c r="H167"/>
      <c r="I167"/>
      <c r="J167"/>
      <c r="K167"/>
      <c r="L167"/>
      <c r="M167"/>
      <c r="N167"/>
      <c r="O167"/>
      <c r="P167"/>
      <c r="Q167"/>
      <c r="R167"/>
      <c r="S167"/>
      <c r="T167"/>
      <c r="U167"/>
      <c r="V167"/>
      <c r="W167"/>
      <c r="X167"/>
      <c r="Y167"/>
      <c r="Z167"/>
    </row>
    <row r="168" spans="1:26">
      <c r="A168"/>
      <c r="B168"/>
      <c r="C168" s="134" t="s">
        <v>2436</v>
      </c>
      <c r="D168" s="106" t="s">
        <v>140</v>
      </c>
      <c r="F168"/>
      <c r="G168"/>
      <c r="H168"/>
      <c r="I168"/>
      <c r="J168"/>
      <c r="K168"/>
      <c r="L168"/>
      <c r="M168"/>
      <c r="N168"/>
      <c r="O168"/>
      <c r="P168"/>
      <c r="Q168"/>
      <c r="R168"/>
      <c r="S168"/>
      <c r="T168"/>
      <c r="U168"/>
      <c r="V168"/>
      <c r="W168"/>
      <c r="X168"/>
      <c r="Y168"/>
      <c r="Z168"/>
    </row>
    <row r="169" spans="1:26" ht="77.25" customHeight="1">
      <c r="B169" s="50" t="s">
        <v>2449</v>
      </c>
      <c r="C169" s="134" t="s">
        <v>2555</v>
      </c>
      <c r="D169" s="106" t="s">
        <v>140</v>
      </c>
      <c r="E169" s="106">
        <v>44</v>
      </c>
    </row>
    <row r="170" spans="1:26">
      <c r="C170" s="134" t="s">
        <v>2450</v>
      </c>
      <c r="D170" s="106" t="s">
        <v>140</v>
      </c>
    </row>
    <row r="171" spans="1:26" ht="75" customHeight="1">
      <c r="A171"/>
      <c r="B171" s="50" t="s">
        <v>2451</v>
      </c>
      <c r="C171" s="134" t="s">
        <v>2556</v>
      </c>
      <c r="D171" s="106" t="s">
        <v>140</v>
      </c>
      <c r="E171">
        <v>40</v>
      </c>
      <c r="F171"/>
      <c r="G171"/>
      <c r="H171"/>
      <c r="I171"/>
      <c r="J171"/>
      <c r="K171"/>
      <c r="L171"/>
      <c r="M171"/>
      <c r="N171"/>
      <c r="O171"/>
      <c r="P171"/>
      <c r="Q171"/>
      <c r="R171"/>
      <c r="S171"/>
      <c r="T171"/>
      <c r="U171"/>
      <c r="V171"/>
      <c r="W171"/>
      <c r="X171"/>
      <c r="Y171"/>
      <c r="Z171"/>
    </row>
    <row r="172" spans="1:26">
      <c r="A172"/>
      <c r="B172"/>
      <c r="C172" s="134" t="s">
        <v>2422</v>
      </c>
      <c r="D172" s="106" t="s">
        <v>140</v>
      </c>
      <c r="E172"/>
      <c r="F172"/>
      <c r="G172"/>
      <c r="H172"/>
      <c r="I172"/>
      <c r="J172"/>
      <c r="K172"/>
      <c r="L172"/>
      <c r="M172"/>
      <c r="N172"/>
      <c r="O172"/>
      <c r="P172"/>
      <c r="Q172"/>
      <c r="R172"/>
      <c r="S172"/>
      <c r="T172"/>
      <c r="U172"/>
      <c r="V172"/>
      <c r="W172"/>
      <c r="X172"/>
      <c r="Y172"/>
      <c r="Z172"/>
    </row>
    <row r="173" spans="1:26">
      <c r="A173"/>
      <c r="B173"/>
      <c r="C173" s="134" t="s">
        <v>2423</v>
      </c>
      <c r="D173" s="106" t="s">
        <v>140</v>
      </c>
      <c r="E173"/>
      <c r="F173"/>
      <c r="G173"/>
      <c r="H173"/>
      <c r="I173"/>
      <c r="J173"/>
      <c r="K173"/>
      <c r="L173"/>
      <c r="M173"/>
      <c r="N173"/>
      <c r="O173"/>
      <c r="P173"/>
      <c r="Q173"/>
      <c r="R173"/>
      <c r="S173"/>
      <c r="T173"/>
      <c r="U173"/>
      <c r="V173"/>
      <c r="W173"/>
      <c r="X173"/>
      <c r="Y173"/>
      <c r="Z173"/>
    </row>
    <row r="174" spans="1:26">
      <c r="A174"/>
      <c r="B174"/>
      <c r="C174" s="134" t="s">
        <v>2430</v>
      </c>
      <c r="D174" s="106" t="s">
        <v>140</v>
      </c>
      <c r="E174"/>
      <c r="F174"/>
      <c r="G174"/>
      <c r="H174"/>
      <c r="I174"/>
      <c r="J174"/>
      <c r="K174"/>
      <c r="L174"/>
      <c r="M174"/>
      <c r="N174"/>
      <c r="O174"/>
      <c r="P174"/>
      <c r="Q174"/>
      <c r="R174"/>
      <c r="S174"/>
      <c r="T174"/>
      <c r="U174"/>
      <c r="V174"/>
      <c r="W174"/>
      <c r="X174"/>
      <c r="Y174"/>
      <c r="Z174"/>
    </row>
    <row r="175" spans="1:26">
      <c r="A175"/>
      <c r="B175"/>
      <c r="C175" s="134" t="s">
        <v>2434</v>
      </c>
      <c r="D175" s="106" t="s">
        <v>140</v>
      </c>
      <c r="E175"/>
      <c r="F175"/>
      <c r="G175"/>
      <c r="H175"/>
      <c r="I175"/>
      <c r="J175"/>
      <c r="K175"/>
      <c r="L175"/>
      <c r="M175"/>
      <c r="N175"/>
      <c r="O175"/>
      <c r="P175"/>
      <c r="Q175"/>
      <c r="R175"/>
      <c r="S175"/>
      <c r="T175"/>
      <c r="U175"/>
      <c r="V175"/>
      <c r="W175"/>
      <c r="X175"/>
      <c r="Y175"/>
      <c r="Z175"/>
    </row>
    <row r="176" spans="1:26" ht="75" customHeight="1">
      <c r="B176" s="50" t="s">
        <v>2452</v>
      </c>
      <c r="C176" s="134" t="s">
        <v>2557</v>
      </c>
      <c r="D176" s="106" t="s">
        <v>140</v>
      </c>
      <c r="E176" s="105">
        <v>8</v>
      </c>
    </row>
    <row r="177" spans="1:26">
      <c r="A177"/>
      <c r="B177"/>
      <c r="C177" s="134" t="s">
        <v>2416</v>
      </c>
      <c r="D177" s="106" t="s">
        <v>140</v>
      </c>
      <c r="E177"/>
      <c r="F177"/>
      <c r="G177"/>
      <c r="H177"/>
      <c r="I177"/>
      <c r="J177"/>
      <c r="K177"/>
      <c r="L177"/>
      <c r="M177"/>
      <c r="N177"/>
      <c r="O177"/>
      <c r="P177"/>
      <c r="Q177"/>
      <c r="R177"/>
      <c r="S177"/>
      <c r="T177"/>
      <c r="U177"/>
      <c r="V177"/>
      <c r="W177"/>
      <c r="X177"/>
      <c r="Y177"/>
      <c r="Z177"/>
    </row>
    <row r="178" spans="1:26" ht="78" customHeight="1">
      <c r="A178"/>
      <c r="B178" s="50" t="s">
        <v>2453</v>
      </c>
      <c r="C178" s="134" t="s">
        <v>2558</v>
      </c>
      <c r="D178" s="106" t="s">
        <v>140</v>
      </c>
      <c r="E178">
        <v>17</v>
      </c>
      <c r="F178"/>
      <c r="G178"/>
      <c r="H178"/>
      <c r="I178"/>
      <c r="J178"/>
      <c r="K178"/>
      <c r="L178"/>
      <c r="M178"/>
      <c r="N178"/>
      <c r="O178"/>
      <c r="P178"/>
      <c r="Q178"/>
      <c r="R178"/>
      <c r="S178"/>
      <c r="T178"/>
      <c r="U178"/>
      <c r="V178"/>
      <c r="W178"/>
      <c r="X178"/>
      <c r="Y178"/>
      <c r="Z178"/>
    </row>
    <row r="179" spans="1:26">
      <c r="A179"/>
      <c r="B179"/>
      <c r="C179" s="134" t="s">
        <v>2418</v>
      </c>
      <c r="D179" s="106" t="s">
        <v>140</v>
      </c>
      <c r="E179"/>
      <c r="F179"/>
      <c r="G179"/>
      <c r="H179"/>
      <c r="I179"/>
      <c r="J179"/>
      <c r="K179"/>
      <c r="L179"/>
      <c r="M179"/>
      <c r="N179"/>
      <c r="O179"/>
      <c r="P179"/>
      <c r="Q179"/>
      <c r="R179"/>
      <c r="S179"/>
      <c r="T179"/>
      <c r="U179"/>
      <c r="V179"/>
      <c r="W179"/>
      <c r="X179"/>
      <c r="Y179"/>
      <c r="Z179"/>
    </row>
    <row r="180" spans="1:26">
      <c r="A180"/>
      <c r="B180"/>
      <c r="C180" s="134" t="s">
        <v>2427</v>
      </c>
      <c r="D180" s="106" t="s">
        <v>140</v>
      </c>
      <c r="E180"/>
      <c r="F180"/>
      <c r="G180"/>
      <c r="H180"/>
      <c r="I180"/>
      <c r="J180"/>
      <c r="K180"/>
      <c r="L180"/>
      <c r="M180"/>
      <c r="N180"/>
      <c r="O180"/>
      <c r="P180"/>
      <c r="Q180"/>
      <c r="R180"/>
      <c r="S180"/>
      <c r="T180"/>
      <c r="U180"/>
      <c r="V180"/>
      <c r="W180"/>
      <c r="X180"/>
      <c r="Y180"/>
      <c r="Z180"/>
    </row>
    <row r="181" spans="1:26">
      <c r="A181"/>
      <c r="B181"/>
      <c r="C181" s="134" t="s">
        <v>2419</v>
      </c>
      <c r="D181" s="106" t="s">
        <v>140</v>
      </c>
      <c r="E181"/>
      <c r="F181"/>
      <c r="G181"/>
      <c r="H181"/>
      <c r="I181"/>
      <c r="J181"/>
      <c r="K181"/>
      <c r="L181"/>
      <c r="M181"/>
      <c r="N181"/>
      <c r="O181"/>
      <c r="P181"/>
      <c r="Q181"/>
      <c r="R181"/>
      <c r="S181"/>
      <c r="T181"/>
      <c r="U181"/>
      <c r="V181"/>
      <c r="W181"/>
      <c r="X181"/>
      <c r="Y181"/>
      <c r="Z181"/>
    </row>
    <row r="182" spans="1:26">
      <c r="A182"/>
      <c r="B182"/>
      <c r="C182" s="134" t="s">
        <v>2437</v>
      </c>
      <c r="D182" s="106" t="s">
        <v>140</v>
      </c>
      <c r="E182"/>
      <c r="F182"/>
      <c r="G182"/>
      <c r="H182"/>
      <c r="I182"/>
      <c r="J182"/>
      <c r="K182"/>
      <c r="L182"/>
      <c r="M182"/>
      <c r="N182"/>
      <c r="O182"/>
      <c r="P182"/>
      <c r="Q182"/>
      <c r="R182"/>
      <c r="S182"/>
      <c r="T182"/>
      <c r="U182"/>
      <c r="V182"/>
      <c r="W182"/>
      <c r="X182"/>
      <c r="Y182"/>
      <c r="Z182"/>
    </row>
    <row r="183" spans="1:26" ht="63.75" customHeight="1">
      <c r="B183" s="50" t="s">
        <v>2454</v>
      </c>
      <c r="C183" s="134" t="s">
        <v>2559</v>
      </c>
      <c r="D183" s="106" t="s">
        <v>140</v>
      </c>
      <c r="E183" s="106">
        <v>276</v>
      </c>
    </row>
    <row r="184" spans="1:26">
      <c r="C184" s="134" t="s">
        <v>2415</v>
      </c>
      <c r="D184" s="106" t="s">
        <v>140</v>
      </c>
    </row>
    <row r="185" spans="1:26">
      <c r="A185"/>
      <c r="B185"/>
      <c r="C185" s="134" t="s">
        <v>2416</v>
      </c>
      <c r="D185" s="106" t="s">
        <v>140</v>
      </c>
      <c r="F185"/>
      <c r="G185"/>
      <c r="H185"/>
      <c r="I185"/>
      <c r="J185"/>
      <c r="K185"/>
      <c r="L185"/>
      <c r="M185"/>
      <c r="N185"/>
      <c r="O185"/>
      <c r="P185"/>
      <c r="Q185"/>
      <c r="R185"/>
      <c r="S185"/>
      <c r="T185"/>
      <c r="U185"/>
      <c r="V185"/>
      <c r="W185"/>
      <c r="X185"/>
      <c r="Y185"/>
      <c r="Z185"/>
    </row>
    <row r="186" spans="1:26">
      <c r="A186"/>
      <c r="B186"/>
      <c r="C186" s="134" t="s">
        <v>2417</v>
      </c>
      <c r="D186" s="106" t="s">
        <v>140</v>
      </c>
      <c r="F186"/>
      <c r="G186"/>
      <c r="H186"/>
      <c r="I186"/>
      <c r="J186"/>
      <c r="K186"/>
      <c r="L186"/>
      <c r="M186"/>
      <c r="N186"/>
      <c r="O186"/>
      <c r="P186"/>
      <c r="Q186"/>
      <c r="R186"/>
      <c r="S186"/>
      <c r="T186"/>
      <c r="U186"/>
      <c r="V186"/>
      <c r="W186"/>
      <c r="X186"/>
      <c r="Y186"/>
      <c r="Z186"/>
    </row>
    <row r="187" spans="1:26">
      <c r="A187"/>
      <c r="B187"/>
      <c r="C187" s="134" t="s">
        <v>2418</v>
      </c>
      <c r="D187" s="106" t="s">
        <v>140</v>
      </c>
      <c r="F187"/>
      <c r="G187"/>
      <c r="H187"/>
      <c r="I187"/>
      <c r="J187"/>
      <c r="K187"/>
      <c r="L187"/>
      <c r="M187"/>
      <c r="N187"/>
      <c r="O187"/>
      <c r="P187"/>
      <c r="Q187"/>
      <c r="R187"/>
      <c r="S187"/>
      <c r="T187"/>
      <c r="U187"/>
      <c r="V187"/>
      <c r="W187"/>
      <c r="X187"/>
      <c r="Y187"/>
      <c r="Z187"/>
    </row>
    <row r="188" spans="1:26">
      <c r="A188"/>
      <c r="B188"/>
      <c r="C188" s="134" t="s">
        <v>2419</v>
      </c>
      <c r="D188" s="106" t="s">
        <v>140</v>
      </c>
      <c r="F188"/>
      <c r="G188"/>
      <c r="H188"/>
      <c r="I188"/>
      <c r="J188"/>
      <c r="K188"/>
      <c r="L188"/>
      <c r="M188"/>
      <c r="N188"/>
      <c r="O188"/>
      <c r="P188"/>
      <c r="Q188"/>
      <c r="R188"/>
      <c r="S188"/>
      <c r="T188"/>
      <c r="U188"/>
      <c r="V188"/>
      <c r="W188"/>
      <c r="X188"/>
      <c r="Y188"/>
      <c r="Z188"/>
    </row>
    <row r="189" spans="1:26">
      <c r="A189"/>
      <c r="B189"/>
      <c r="C189" s="134" t="s">
        <v>2420</v>
      </c>
      <c r="D189" s="106" t="s">
        <v>140</v>
      </c>
      <c r="F189"/>
      <c r="G189"/>
      <c r="H189"/>
      <c r="I189"/>
      <c r="J189"/>
      <c r="K189"/>
      <c r="L189"/>
      <c r="M189"/>
      <c r="N189"/>
      <c r="O189"/>
      <c r="P189"/>
      <c r="Q189"/>
      <c r="R189"/>
      <c r="S189"/>
      <c r="T189"/>
      <c r="U189"/>
      <c r="V189"/>
      <c r="W189"/>
      <c r="X189"/>
      <c r="Y189"/>
      <c r="Z189"/>
    </row>
    <row r="190" spans="1:26">
      <c r="A190"/>
      <c r="B190"/>
      <c r="C190" s="134" t="s">
        <v>2421</v>
      </c>
      <c r="D190" s="106" t="s">
        <v>140</v>
      </c>
      <c r="F190"/>
      <c r="G190"/>
      <c r="H190"/>
      <c r="I190"/>
      <c r="J190"/>
      <c r="K190"/>
      <c r="L190"/>
      <c r="M190"/>
      <c r="N190"/>
      <c r="O190"/>
      <c r="P190"/>
      <c r="Q190"/>
      <c r="R190"/>
      <c r="S190"/>
      <c r="T190"/>
      <c r="U190"/>
      <c r="V190"/>
      <c r="W190"/>
      <c r="X190"/>
      <c r="Y190"/>
      <c r="Z190"/>
    </row>
    <row r="191" spans="1:26">
      <c r="A191"/>
      <c r="B191"/>
      <c r="C191" s="134" t="s">
        <v>2422</v>
      </c>
      <c r="D191" s="106" t="s">
        <v>140</v>
      </c>
      <c r="F191"/>
      <c r="G191"/>
      <c r="H191"/>
      <c r="I191"/>
      <c r="J191"/>
      <c r="K191"/>
      <c r="L191"/>
      <c r="M191"/>
      <c r="N191"/>
      <c r="O191"/>
      <c r="P191"/>
      <c r="Q191"/>
      <c r="R191"/>
      <c r="S191"/>
      <c r="T191"/>
      <c r="U191"/>
      <c r="V191"/>
      <c r="W191"/>
      <c r="X191"/>
      <c r="Y191"/>
      <c r="Z191"/>
    </row>
    <row r="192" spans="1:26">
      <c r="A192"/>
      <c r="B192"/>
      <c r="C192" s="134" t="s">
        <v>2423</v>
      </c>
      <c r="D192" s="106" t="s">
        <v>140</v>
      </c>
      <c r="F192"/>
      <c r="G192"/>
      <c r="H192"/>
      <c r="I192"/>
      <c r="J192"/>
      <c r="K192"/>
      <c r="L192"/>
      <c r="M192"/>
      <c r="N192"/>
      <c r="O192"/>
      <c r="P192"/>
      <c r="Q192"/>
      <c r="R192"/>
      <c r="S192"/>
      <c r="T192"/>
      <c r="U192"/>
      <c r="V192"/>
      <c r="W192"/>
      <c r="X192"/>
      <c r="Y192"/>
      <c r="Z192"/>
    </row>
    <row r="193" spans="1:26">
      <c r="A193"/>
      <c r="B193"/>
      <c r="C193" s="134" t="s">
        <v>2430</v>
      </c>
      <c r="D193" s="106" t="s">
        <v>140</v>
      </c>
      <c r="F193"/>
      <c r="G193"/>
      <c r="H193"/>
      <c r="I193"/>
      <c r="J193"/>
      <c r="K193"/>
      <c r="L193"/>
      <c r="M193"/>
      <c r="N193"/>
      <c r="O193"/>
      <c r="P193"/>
      <c r="Q193"/>
      <c r="R193"/>
      <c r="S193"/>
      <c r="T193"/>
      <c r="U193"/>
      <c r="V193"/>
      <c r="W193"/>
      <c r="X193"/>
      <c r="Y193"/>
      <c r="Z193"/>
    </row>
    <row r="194" spans="1:26">
      <c r="A194"/>
      <c r="B194"/>
      <c r="C194" s="134" t="s">
        <v>2432</v>
      </c>
      <c r="D194" s="106" t="s">
        <v>140</v>
      </c>
      <c r="F194"/>
      <c r="G194"/>
      <c r="H194"/>
      <c r="I194"/>
      <c r="J194"/>
      <c r="K194"/>
      <c r="L194"/>
      <c r="M194"/>
      <c r="N194"/>
      <c r="O194"/>
      <c r="P194"/>
      <c r="Q194"/>
      <c r="R194"/>
      <c r="S194"/>
      <c r="T194"/>
      <c r="U194"/>
      <c r="V194"/>
      <c r="W194"/>
      <c r="X194"/>
      <c r="Y194"/>
      <c r="Z194"/>
    </row>
    <row r="195" spans="1:26">
      <c r="A195"/>
      <c r="B195"/>
      <c r="C195" s="134" t="s">
        <v>2433</v>
      </c>
      <c r="D195" s="106" t="s">
        <v>140</v>
      </c>
      <c r="F195"/>
      <c r="G195"/>
      <c r="H195"/>
      <c r="I195"/>
      <c r="J195"/>
      <c r="K195"/>
      <c r="L195"/>
      <c r="M195"/>
      <c r="N195"/>
      <c r="O195"/>
      <c r="P195"/>
      <c r="Q195"/>
      <c r="R195"/>
      <c r="S195"/>
      <c r="T195"/>
      <c r="U195"/>
      <c r="V195"/>
      <c r="W195"/>
      <c r="X195"/>
      <c r="Y195"/>
      <c r="Z195"/>
    </row>
    <row r="196" spans="1:26">
      <c r="A196"/>
      <c r="B196"/>
      <c r="C196" s="134" t="s">
        <v>2434</v>
      </c>
      <c r="D196" s="106" t="s">
        <v>140</v>
      </c>
      <c r="F196"/>
      <c r="G196"/>
      <c r="H196"/>
      <c r="I196"/>
      <c r="J196"/>
      <c r="K196"/>
      <c r="L196"/>
      <c r="M196"/>
      <c r="N196"/>
      <c r="O196"/>
      <c r="P196"/>
      <c r="Q196"/>
      <c r="R196"/>
      <c r="S196"/>
      <c r="T196"/>
      <c r="U196"/>
      <c r="V196"/>
      <c r="W196"/>
      <c r="X196"/>
      <c r="Y196"/>
      <c r="Z196"/>
    </row>
    <row r="197" spans="1:26" ht="63" customHeight="1">
      <c r="B197" s="50" t="s">
        <v>2455</v>
      </c>
      <c r="C197" s="134" t="s">
        <v>2560</v>
      </c>
      <c r="D197" s="106" t="s">
        <v>140</v>
      </c>
      <c r="E197" s="106">
        <v>104</v>
      </c>
    </row>
    <row r="198" spans="1:26">
      <c r="C198" s="134" t="s">
        <v>2425</v>
      </c>
      <c r="D198" s="106" t="s">
        <v>140</v>
      </c>
    </row>
    <row r="199" spans="1:26">
      <c r="C199" s="134" t="s">
        <v>2426</v>
      </c>
      <c r="D199" s="106" t="s">
        <v>140</v>
      </c>
    </row>
    <row r="200" spans="1:26">
      <c r="A200"/>
      <c r="B200"/>
      <c r="C200" s="134" t="s">
        <v>2427</v>
      </c>
      <c r="D200" s="106" t="s">
        <v>140</v>
      </c>
      <c r="F200"/>
      <c r="G200"/>
      <c r="H200"/>
      <c r="I200"/>
      <c r="J200"/>
      <c r="K200"/>
      <c r="L200"/>
      <c r="M200"/>
      <c r="N200"/>
      <c r="O200"/>
      <c r="P200"/>
      <c r="Q200"/>
      <c r="R200"/>
      <c r="S200"/>
      <c r="T200"/>
      <c r="U200"/>
      <c r="V200"/>
      <c r="W200"/>
      <c r="X200"/>
      <c r="Y200"/>
      <c r="Z200"/>
    </row>
    <row r="201" spans="1:26">
      <c r="A201"/>
      <c r="B201"/>
      <c r="C201" s="134" t="s">
        <v>2428</v>
      </c>
      <c r="D201" s="106" t="s">
        <v>140</v>
      </c>
      <c r="F201"/>
      <c r="G201"/>
      <c r="H201"/>
      <c r="I201"/>
      <c r="J201"/>
      <c r="K201"/>
      <c r="L201"/>
      <c r="M201"/>
      <c r="N201"/>
      <c r="O201"/>
      <c r="P201"/>
      <c r="Q201"/>
      <c r="R201"/>
      <c r="S201"/>
      <c r="T201"/>
      <c r="U201"/>
      <c r="V201"/>
      <c r="W201"/>
      <c r="X201"/>
      <c r="Y201"/>
      <c r="Z201"/>
    </row>
    <row r="202" spans="1:26">
      <c r="A202"/>
      <c r="B202"/>
      <c r="C202" s="134" t="s">
        <v>2429</v>
      </c>
      <c r="D202" s="106" t="s">
        <v>140</v>
      </c>
      <c r="F202"/>
      <c r="G202"/>
      <c r="H202"/>
      <c r="I202"/>
      <c r="J202"/>
      <c r="K202"/>
      <c r="L202"/>
      <c r="M202"/>
      <c r="N202"/>
      <c r="O202"/>
      <c r="P202"/>
      <c r="Q202"/>
      <c r="R202"/>
      <c r="S202"/>
      <c r="T202"/>
      <c r="U202"/>
      <c r="V202"/>
      <c r="W202"/>
      <c r="X202"/>
      <c r="Y202"/>
      <c r="Z202"/>
    </row>
    <row r="203" spans="1:26">
      <c r="A203"/>
      <c r="B203"/>
      <c r="C203" s="134" t="s">
        <v>2436</v>
      </c>
      <c r="D203" s="106" t="s">
        <v>140</v>
      </c>
      <c r="F203"/>
      <c r="G203"/>
      <c r="H203"/>
      <c r="I203"/>
      <c r="J203"/>
      <c r="K203"/>
      <c r="L203"/>
      <c r="M203"/>
      <c r="N203"/>
      <c r="O203"/>
      <c r="P203"/>
      <c r="Q203"/>
      <c r="R203"/>
      <c r="S203"/>
      <c r="T203"/>
      <c r="U203"/>
      <c r="V203"/>
      <c r="W203"/>
      <c r="X203"/>
      <c r="Y203"/>
      <c r="Z203"/>
    </row>
    <row r="204" spans="1:26">
      <c r="A204"/>
      <c r="B204"/>
      <c r="C204" s="134" t="s">
        <v>2437</v>
      </c>
      <c r="D204" s="106" t="s">
        <v>140</v>
      </c>
      <c r="F204"/>
      <c r="G204"/>
      <c r="H204"/>
      <c r="I204"/>
      <c r="J204"/>
      <c r="K204"/>
      <c r="L204"/>
      <c r="M204"/>
      <c r="N204"/>
      <c r="O204"/>
      <c r="P204"/>
      <c r="Q204"/>
      <c r="R204"/>
      <c r="S204"/>
      <c r="T204"/>
      <c r="U204"/>
      <c r="V204"/>
      <c r="W204"/>
      <c r="X204"/>
      <c r="Y204"/>
      <c r="Z204"/>
    </row>
    <row r="205" spans="1:26" ht="76.5">
      <c r="B205" s="50" t="s">
        <v>2456</v>
      </c>
      <c r="C205" s="153" t="s">
        <v>2561</v>
      </c>
      <c r="D205" s="106" t="s">
        <v>140</v>
      </c>
      <c r="E205" s="106">
        <v>262</v>
      </c>
    </row>
    <row r="206" spans="1:26">
      <c r="C206" s="134" t="s">
        <v>2425</v>
      </c>
      <c r="D206" s="106" t="s">
        <v>140</v>
      </c>
    </row>
    <row r="207" spans="1:26">
      <c r="C207" s="134" t="s">
        <v>2415</v>
      </c>
      <c r="D207" s="106" t="s">
        <v>140</v>
      </c>
    </row>
    <row r="208" spans="1:26">
      <c r="C208" s="134" t="s">
        <v>2426</v>
      </c>
      <c r="D208" s="106" t="s">
        <v>140</v>
      </c>
    </row>
    <row r="209" spans="1:26">
      <c r="A209"/>
      <c r="B209"/>
      <c r="C209" s="134" t="s">
        <v>2416</v>
      </c>
      <c r="D209" s="106" t="s">
        <v>140</v>
      </c>
      <c r="F209"/>
      <c r="G209"/>
      <c r="H209"/>
      <c r="I209"/>
      <c r="J209"/>
      <c r="K209"/>
      <c r="L209"/>
      <c r="M209"/>
      <c r="N209"/>
      <c r="O209"/>
      <c r="P209"/>
      <c r="Q209"/>
      <c r="R209"/>
      <c r="S209"/>
      <c r="T209"/>
      <c r="U209"/>
      <c r="V209"/>
      <c r="W209"/>
      <c r="X209"/>
      <c r="Y209"/>
      <c r="Z209"/>
    </row>
    <row r="210" spans="1:26">
      <c r="A210"/>
      <c r="B210"/>
      <c r="C210" s="134" t="s">
        <v>2417</v>
      </c>
      <c r="D210" s="106" t="s">
        <v>140</v>
      </c>
      <c r="F210"/>
      <c r="G210"/>
      <c r="H210"/>
      <c r="I210"/>
      <c r="J210"/>
      <c r="K210"/>
      <c r="L210"/>
      <c r="M210"/>
      <c r="N210"/>
      <c r="O210"/>
      <c r="P210"/>
      <c r="Q210"/>
      <c r="R210"/>
      <c r="S210"/>
      <c r="T210"/>
      <c r="U210"/>
      <c r="V210"/>
      <c r="W210"/>
      <c r="X210"/>
      <c r="Y210"/>
      <c r="Z210"/>
    </row>
    <row r="211" spans="1:26">
      <c r="A211"/>
      <c r="B211"/>
      <c r="C211" s="134" t="s">
        <v>2418</v>
      </c>
      <c r="D211" s="106" t="s">
        <v>140</v>
      </c>
      <c r="F211"/>
      <c r="G211"/>
      <c r="H211"/>
      <c r="I211"/>
      <c r="J211"/>
      <c r="K211"/>
      <c r="L211"/>
      <c r="M211"/>
      <c r="N211"/>
      <c r="O211"/>
      <c r="P211"/>
      <c r="Q211"/>
      <c r="R211"/>
      <c r="S211"/>
      <c r="T211"/>
      <c r="U211"/>
      <c r="V211"/>
      <c r="W211"/>
      <c r="X211"/>
      <c r="Y211"/>
      <c r="Z211"/>
    </row>
    <row r="212" spans="1:26">
      <c r="A212"/>
      <c r="B212"/>
      <c r="C212" s="134" t="s">
        <v>2427</v>
      </c>
      <c r="D212" s="106" t="s">
        <v>140</v>
      </c>
      <c r="F212"/>
      <c r="G212"/>
      <c r="H212"/>
      <c r="I212"/>
      <c r="J212"/>
      <c r="K212"/>
      <c r="L212"/>
      <c r="M212"/>
      <c r="N212"/>
      <c r="O212"/>
      <c r="P212"/>
      <c r="Q212"/>
      <c r="R212"/>
      <c r="S212"/>
      <c r="T212"/>
      <c r="U212"/>
      <c r="V212"/>
      <c r="W212"/>
      <c r="X212"/>
      <c r="Y212"/>
      <c r="Z212"/>
    </row>
    <row r="213" spans="1:26">
      <c r="A213"/>
      <c r="B213"/>
      <c r="C213" s="134" t="s">
        <v>2428</v>
      </c>
      <c r="D213" s="106" t="s">
        <v>140</v>
      </c>
      <c r="F213"/>
      <c r="G213"/>
      <c r="H213"/>
      <c r="I213"/>
      <c r="J213"/>
      <c r="K213"/>
      <c r="L213"/>
      <c r="M213"/>
      <c r="N213"/>
      <c r="O213"/>
      <c r="P213"/>
      <c r="Q213"/>
      <c r="R213"/>
      <c r="S213"/>
      <c r="T213"/>
      <c r="U213"/>
      <c r="V213"/>
      <c r="W213"/>
      <c r="X213"/>
      <c r="Y213"/>
      <c r="Z213"/>
    </row>
    <row r="214" spans="1:26">
      <c r="A214"/>
      <c r="B214"/>
      <c r="C214" s="134" t="s">
        <v>2429</v>
      </c>
      <c r="D214" s="106" t="s">
        <v>140</v>
      </c>
      <c r="F214"/>
      <c r="G214"/>
      <c r="H214"/>
      <c r="I214"/>
      <c r="J214"/>
      <c r="K214"/>
      <c r="L214"/>
      <c r="M214"/>
      <c r="N214"/>
      <c r="O214"/>
      <c r="P214"/>
      <c r="Q214"/>
      <c r="R214"/>
      <c r="S214"/>
      <c r="T214"/>
      <c r="U214"/>
      <c r="V214"/>
      <c r="W214"/>
      <c r="X214"/>
      <c r="Y214"/>
      <c r="Z214"/>
    </row>
    <row r="215" spans="1:26">
      <c r="A215"/>
      <c r="B215"/>
      <c r="C215" s="134" t="s">
        <v>2419</v>
      </c>
      <c r="D215" s="106" t="s">
        <v>140</v>
      </c>
      <c r="F215"/>
      <c r="G215"/>
      <c r="H215"/>
      <c r="I215"/>
      <c r="J215"/>
      <c r="K215"/>
      <c r="L215"/>
      <c r="M215"/>
      <c r="N215"/>
      <c r="O215"/>
      <c r="P215"/>
      <c r="Q215"/>
      <c r="R215"/>
      <c r="S215"/>
      <c r="T215"/>
      <c r="U215"/>
      <c r="V215"/>
      <c r="W215"/>
      <c r="X215"/>
      <c r="Y215"/>
      <c r="Z215"/>
    </row>
    <row r="216" spans="1:26">
      <c r="A216"/>
      <c r="B216"/>
      <c r="C216" s="134" t="s">
        <v>2420</v>
      </c>
      <c r="D216" s="106" t="s">
        <v>140</v>
      </c>
      <c r="F216"/>
      <c r="G216"/>
      <c r="H216"/>
      <c r="I216"/>
      <c r="J216"/>
      <c r="K216"/>
      <c r="L216"/>
      <c r="M216"/>
      <c r="N216"/>
      <c r="O216"/>
      <c r="P216"/>
      <c r="Q216"/>
      <c r="R216"/>
      <c r="S216"/>
      <c r="T216"/>
      <c r="U216"/>
      <c r="V216"/>
      <c r="W216"/>
      <c r="X216"/>
      <c r="Y216"/>
      <c r="Z216"/>
    </row>
    <row r="217" spans="1:26">
      <c r="A217"/>
      <c r="B217"/>
      <c r="C217" s="134" t="s">
        <v>2422</v>
      </c>
      <c r="D217" s="106" t="s">
        <v>140</v>
      </c>
      <c r="F217"/>
      <c r="G217"/>
      <c r="H217"/>
      <c r="I217"/>
      <c r="J217"/>
      <c r="K217"/>
      <c r="L217"/>
      <c r="M217"/>
      <c r="N217"/>
      <c r="O217"/>
      <c r="P217"/>
      <c r="Q217"/>
      <c r="R217"/>
      <c r="S217"/>
      <c r="T217"/>
      <c r="U217"/>
      <c r="V217"/>
      <c r="W217"/>
      <c r="X217"/>
      <c r="Y217"/>
      <c r="Z217"/>
    </row>
    <row r="218" spans="1:26">
      <c r="A218"/>
      <c r="B218"/>
      <c r="C218" s="134" t="s">
        <v>2423</v>
      </c>
      <c r="D218" s="106" t="s">
        <v>140</v>
      </c>
      <c r="F218"/>
      <c r="G218"/>
      <c r="H218"/>
      <c r="I218"/>
      <c r="J218"/>
      <c r="K218"/>
      <c r="L218"/>
      <c r="M218"/>
      <c r="N218"/>
      <c r="O218"/>
      <c r="P218"/>
      <c r="Q218"/>
      <c r="R218"/>
      <c r="S218"/>
      <c r="T218"/>
      <c r="U218"/>
      <c r="V218"/>
      <c r="W218"/>
      <c r="X218"/>
      <c r="Y218"/>
      <c r="Z218"/>
    </row>
    <row r="219" spans="1:26">
      <c r="A219"/>
      <c r="B219"/>
      <c r="C219" s="134" t="s">
        <v>2430</v>
      </c>
      <c r="D219" s="106" t="s">
        <v>140</v>
      </c>
      <c r="F219"/>
      <c r="G219"/>
      <c r="H219"/>
      <c r="I219"/>
      <c r="J219"/>
      <c r="K219"/>
      <c r="L219"/>
      <c r="M219"/>
      <c r="N219"/>
      <c r="O219"/>
      <c r="P219"/>
      <c r="Q219"/>
      <c r="R219"/>
      <c r="S219"/>
      <c r="T219"/>
      <c r="U219"/>
      <c r="V219"/>
      <c r="W219"/>
      <c r="X219"/>
      <c r="Y219"/>
      <c r="Z219"/>
    </row>
    <row r="220" spans="1:26">
      <c r="A220"/>
      <c r="B220"/>
      <c r="C220" s="134" t="s">
        <v>2432</v>
      </c>
      <c r="D220" s="106" t="s">
        <v>140</v>
      </c>
      <c r="F220"/>
      <c r="G220"/>
      <c r="H220"/>
      <c r="I220"/>
      <c r="J220"/>
      <c r="K220"/>
      <c r="L220"/>
      <c r="M220"/>
      <c r="N220"/>
      <c r="O220"/>
      <c r="P220"/>
      <c r="Q220"/>
      <c r="R220"/>
      <c r="S220"/>
      <c r="T220"/>
      <c r="U220"/>
      <c r="V220"/>
      <c r="W220"/>
      <c r="X220"/>
      <c r="Y220"/>
      <c r="Z220"/>
    </row>
    <row r="221" spans="1:26">
      <c r="A221"/>
      <c r="B221"/>
      <c r="C221" s="134" t="s">
        <v>2434</v>
      </c>
      <c r="D221" s="106" t="s">
        <v>140</v>
      </c>
      <c r="F221"/>
      <c r="G221"/>
      <c r="H221"/>
      <c r="I221"/>
      <c r="J221"/>
      <c r="K221"/>
      <c r="L221"/>
      <c r="M221"/>
      <c r="N221"/>
      <c r="O221"/>
      <c r="P221"/>
      <c r="Q221"/>
      <c r="R221"/>
      <c r="S221"/>
      <c r="T221"/>
      <c r="U221"/>
      <c r="V221"/>
      <c r="W221"/>
      <c r="X221"/>
      <c r="Y221"/>
      <c r="Z221"/>
    </row>
    <row r="222" spans="1:26">
      <c r="A222"/>
      <c r="B222"/>
      <c r="C222" s="134" t="s">
        <v>2436</v>
      </c>
      <c r="D222" s="106" t="s">
        <v>140</v>
      </c>
      <c r="F222"/>
      <c r="G222"/>
      <c r="H222"/>
      <c r="I222"/>
      <c r="J222"/>
      <c r="K222"/>
      <c r="L222"/>
      <c r="M222"/>
      <c r="N222"/>
      <c r="O222"/>
      <c r="P222"/>
      <c r="Q222"/>
      <c r="R222"/>
      <c r="S222"/>
      <c r="T222"/>
      <c r="U222"/>
      <c r="V222"/>
      <c r="W222"/>
      <c r="X222"/>
      <c r="Y222"/>
      <c r="Z222"/>
    </row>
    <row r="223" spans="1:26">
      <c r="A223"/>
      <c r="B223"/>
      <c r="C223" s="134" t="s">
        <v>2437</v>
      </c>
      <c r="D223" s="106" t="s">
        <v>140</v>
      </c>
      <c r="F223"/>
      <c r="G223"/>
      <c r="H223"/>
      <c r="I223"/>
      <c r="J223"/>
      <c r="K223"/>
      <c r="L223"/>
      <c r="M223"/>
      <c r="N223"/>
      <c r="O223"/>
      <c r="P223"/>
      <c r="Q223"/>
      <c r="R223"/>
      <c r="S223"/>
      <c r="T223"/>
      <c r="U223"/>
      <c r="V223"/>
      <c r="W223"/>
      <c r="X223"/>
      <c r="Y223"/>
      <c r="Z223"/>
    </row>
    <row r="224" spans="1:26" ht="63.75">
      <c r="A224"/>
      <c r="B224" s="50" t="s">
        <v>2457</v>
      </c>
      <c r="C224" s="134" t="s">
        <v>2562</v>
      </c>
      <c r="D224" s="106" t="s">
        <v>140</v>
      </c>
      <c r="E224" s="106">
        <v>16</v>
      </c>
      <c r="F224"/>
      <c r="G224"/>
      <c r="H224"/>
      <c r="I224"/>
      <c r="J224"/>
      <c r="K224"/>
      <c r="L224"/>
      <c r="M224"/>
      <c r="N224"/>
      <c r="O224"/>
      <c r="P224"/>
      <c r="Q224"/>
      <c r="R224"/>
      <c r="S224"/>
      <c r="T224"/>
      <c r="U224"/>
      <c r="V224"/>
      <c r="W224"/>
      <c r="X224"/>
      <c r="Y224"/>
      <c r="Z224"/>
    </row>
    <row r="225" spans="1:26">
      <c r="A225"/>
      <c r="B225"/>
      <c r="C225" s="134" t="s">
        <v>2433</v>
      </c>
      <c r="D225" s="106" t="s">
        <v>140</v>
      </c>
      <c r="E225"/>
      <c r="F225"/>
      <c r="G225"/>
      <c r="H225"/>
      <c r="I225"/>
      <c r="J225"/>
      <c r="K225"/>
      <c r="L225"/>
      <c r="M225"/>
      <c r="N225"/>
      <c r="O225"/>
      <c r="P225"/>
      <c r="Q225"/>
      <c r="R225"/>
      <c r="S225"/>
      <c r="T225"/>
      <c r="U225"/>
      <c r="V225"/>
      <c r="W225"/>
      <c r="X225"/>
      <c r="Y225"/>
      <c r="Z225"/>
    </row>
    <row r="226" spans="1:26" ht="75" customHeight="1">
      <c r="B226" s="50" t="s">
        <v>2458</v>
      </c>
      <c r="C226" s="134" t="s">
        <v>2563</v>
      </c>
      <c r="D226" s="106" t="s">
        <v>140</v>
      </c>
      <c r="E226" s="106">
        <v>163</v>
      </c>
    </row>
    <row r="227" spans="1:26">
      <c r="C227" s="134" t="s">
        <v>2415</v>
      </c>
      <c r="D227" s="106" t="s">
        <v>140</v>
      </c>
    </row>
    <row r="228" spans="1:26">
      <c r="A228"/>
      <c r="B228"/>
      <c r="C228" s="134" t="s">
        <v>2416</v>
      </c>
      <c r="D228" s="106" t="s">
        <v>140</v>
      </c>
      <c r="F228"/>
      <c r="G228"/>
      <c r="H228"/>
      <c r="I228"/>
      <c r="J228"/>
      <c r="K228"/>
      <c r="L228"/>
      <c r="M228"/>
      <c r="N228"/>
      <c r="O228"/>
      <c r="P228"/>
      <c r="Q228"/>
      <c r="R228"/>
      <c r="S228"/>
      <c r="T228"/>
      <c r="U228"/>
      <c r="V228"/>
      <c r="W228"/>
      <c r="X228"/>
      <c r="Y228"/>
      <c r="Z228"/>
    </row>
    <row r="229" spans="1:26">
      <c r="A229"/>
      <c r="B229"/>
      <c r="C229" s="134" t="s">
        <v>2419</v>
      </c>
      <c r="D229" s="106" t="s">
        <v>140</v>
      </c>
      <c r="F229"/>
      <c r="G229"/>
      <c r="H229"/>
      <c r="I229"/>
      <c r="J229"/>
      <c r="K229"/>
      <c r="L229"/>
      <c r="M229"/>
      <c r="N229"/>
      <c r="O229"/>
      <c r="P229"/>
      <c r="Q229"/>
      <c r="R229"/>
      <c r="S229"/>
      <c r="T229"/>
      <c r="U229"/>
      <c r="V229"/>
      <c r="W229"/>
      <c r="X229"/>
      <c r="Y229"/>
      <c r="Z229"/>
    </row>
    <row r="230" spans="1:26">
      <c r="A230"/>
      <c r="B230"/>
      <c r="C230" s="134" t="s">
        <v>2495</v>
      </c>
      <c r="D230" s="106" t="s">
        <v>140</v>
      </c>
      <c r="F230"/>
      <c r="G230"/>
      <c r="H230"/>
      <c r="I230"/>
      <c r="J230"/>
      <c r="K230"/>
      <c r="L230"/>
      <c r="M230"/>
      <c r="N230"/>
      <c r="O230"/>
      <c r="P230"/>
      <c r="Q230"/>
      <c r="R230"/>
      <c r="S230"/>
      <c r="T230"/>
      <c r="U230"/>
      <c r="V230"/>
      <c r="W230"/>
      <c r="X230"/>
      <c r="Y230"/>
      <c r="Z230"/>
    </row>
    <row r="231" spans="1:26">
      <c r="A231"/>
      <c r="B231"/>
      <c r="C231" s="134" t="s">
        <v>2422</v>
      </c>
      <c r="D231" s="106" t="s">
        <v>140</v>
      </c>
      <c r="F231"/>
      <c r="G231"/>
      <c r="H231"/>
      <c r="I231"/>
      <c r="J231"/>
      <c r="K231"/>
      <c r="L231"/>
      <c r="M231"/>
      <c r="N231"/>
      <c r="O231"/>
      <c r="P231"/>
      <c r="Q231"/>
      <c r="R231"/>
      <c r="S231"/>
      <c r="T231"/>
      <c r="U231"/>
      <c r="V231"/>
      <c r="W231"/>
      <c r="X231"/>
      <c r="Y231"/>
      <c r="Z231"/>
    </row>
    <row r="232" spans="1:26">
      <c r="A232"/>
      <c r="B232"/>
      <c r="C232" s="134" t="s">
        <v>2430</v>
      </c>
      <c r="D232" s="106" t="s">
        <v>140</v>
      </c>
      <c r="F232"/>
      <c r="G232"/>
      <c r="H232"/>
      <c r="I232"/>
      <c r="J232"/>
      <c r="K232"/>
      <c r="L232"/>
      <c r="M232"/>
      <c r="N232"/>
      <c r="O232"/>
      <c r="P232"/>
      <c r="Q232"/>
      <c r="R232"/>
      <c r="S232"/>
      <c r="T232"/>
      <c r="U232"/>
      <c r="V232"/>
      <c r="W232"/>
      <c r="X232"/>
      <c r="Y232"/>
      <c r="Z232"/>
    </row>
    <row r="233" spans="1:26">
      <c r="A233"/>
      <c r="B233"/>
      <c r="C233" s="134" t="s">
        <v>2432</v>
      </c>
      <c r="D233" s="106" t="s">
        <v>140</v>
      </c>
      <c r="F233"/>
      <c r="G233"/>
      <c r="H233"/>
      <c r="I233"/>
      <c r="J233"/>
      <c r="K233"/>
      <c r="L233"/>
      <c r="M233"/>
      <c r="N233"/>
      <c r="O233"/>
      <c r="P233"/>
      <c r="Q233"/>
      <c r="R233"/>
      <c r="S233"/>
      <c r="T233"/>
      <c r="U233"/>
      <c r="V233"/>
      <c r="W233"/>
      <c r="X233"/>
      <c r="Y233"/>
      <c r="Z233"/>
    </row>
    <row r="234" spans="1:26">
      <c r="A234"/>
      <c r="B234"/>
      <c r="C234" s="134" t="s">
        <v>2434</v>
      </c>
      <c r="D234" s="106" t="s">
        <v>140</v>
      </c>
      <c r="F234"/>
      <c r="G234"/>
      <c r="H234"/>
      <c r="I234"/>
      <c r="J234"/>
      <c r="K234"/>
      <c r="L234"/>
      <c r="M234"/>
      <c r="N234"/>
      <c r="O234"/>
      <c r="P234"/>
      <c r="Q234"/>
      <c r="R234"/>
      <c r="S234"/>
      <c r="T234"/>
      <c r="U234"/>
      <c r="V234"/>
      <c r="W234"/>
      <c r="X234"/>
      <c r="Y234"/>
      <c r="Z234"/>
    </row>
    <row r="235" spans="1:26">
      <c r="A235"/>
      <c r="B235"/>
      <c r="C235" s="134" t="s">
        <v>2437</v>
      </c>
      <c r="D235" s="106" t="s">
        <v>140</v>
      </c>
      <c r="F235"/>
      <c r="G235"/>
      <c r="H235"/>
      <c r="I235"/>
      <c r="J235"/>
      <c r="K235"/>
      <c r="L235"/>
      <c r="M235"/>
      <c r="N235"/>
      <c r="O235"/>
      <c r="P235"/>
      <c r="Q235"/>
      <c r="R235"/>
      <c r="S235"/>
      <c r="T235"/>
      <c r="U235"/>
      <c r="V235"/>
      <c r="W235"/>
      <c r="X235"/>
      <c r="Y235"/>
      <c r="Z235"/>
    </row>
    <row r="236" spans="1:26" ht="60.75" customHeight="1">
      <c r="B236" s="50" t="s">
        <v>2459</v>
      </c>
      <c r="C236" s="134" t="s">
        <v>2564</v>
      </c>
      <c r="D236" s="106" t="s">
        <v>140</v>
      </c>
      <c r="E236" s="106">
        <v>88</v>
      </c>
    </row>
    <row r="237" spans="1:26">
      <c r="C237" s="134" t="s">
        <v>2425</v>
      </c>
      <c r="D237" s="106" t="s">
        <v>140</v>
      </c>
    </row>
    <row r="238" spans="1:26">
      <c r="A238"/>
      <c r="B238"/>
      <c r="C238" s="134" t="s">
        <v>2417</v>
      </c>
      <c r="D238" s="106" t="s">
        <v>140</v>
      </c>
      <c r="F238"/>
      <c r="G238"/>
      <c r="H238"/>
      <c r="I238"/>
      <c r="J238"/>
      <c r="K238"/>
      <c r="L238"/>
      <c r="M238"/>
      <c r="N238"/>
      <c r="O238"/>
      <c r="P238"/>
      <c r="Q238"/>
      <c r="R238"/>
      <c r="S238"/>
      <c r="T238"/>
      <c r="U238"/>
      <c r="V238"/>
      <c r="W238"/>
      <c r="X238"/>
      <c r="Y238"/>
      <c r="Z238"/>
    </row>
    <row r="239" spans="1:26">
      <c r="A239"/>
      <c r="B239"/>
      <c r="C239" s="134" t="s">
        <v>2418</v>
      </c>
      <c r="D239" s="106" t="s">
        <v>140</v>
      </c>
      <c r="F239"/>
      <c r="G239"/>
      <c r="H239"/>
      <c r="I239"/>
      <c r="J239"/>
      <c r="K239"/>
      <c r="L239"/>
      <c r="M239"/>
      <c r="N239"/>
      <c r="O239"/>
      <c r="P239"/>
      <c r="Q239"/>
      <c r="R239"/>
      <c r="S239"/>
      <c r="T239"/>
      <c r="U239"/>
      <c r="V239"/>
      <c r="W239"/>
      <c r="X239"/>
      <c r="Y239"/>
      <c r="Z239"/>
    </row>
    <row r="240" spans="1:26">
      <c r="A240"/>
      <c r="B240"/>
      <c r="C240" s="134" t="s">
        <v>2428</v>
      </c>
      <c r="D240" s="106" t="s">
        <v>140</v>
      </c>
      <c r="F240"/>
      <c r="G240"/>
      <c r="H240"/>
      <c r="I240"/>
      <c r="J240"/>
      <c r="K240"/>
      <c r="L240"/>
      <c r="M240"/>
      <c r="N240"/>
      <c r="O240"/>
      <c r="P240"/>
      <c r="Q240"/>
      <c r="R240"/>
      <c r="S240"/>
      <c r="T240"/>
      <c r="U240"/>
      <c r="V240"/>
      <c r="W240"/>
      <c r="X240"/>
      <c r="Y240"/>
      <c r="Z240"/>
    </row>
    <row r="241" spans="1:26">
      <c r="A241"/>
      <c r="B241"/>
      <c r="C241" s="134" t="s">
        <v>2429</v>
      </c>
      <c r="D241" s="106" t="s">
        <v>140</v>
      </c>
      <c r="F241"/>
      <c r="G241"/>
      <c r="H241"/>
      <c r="I241"/>
      <c r="J241"/>
      <c r="K241"/>
      <c r="L241"/>
      <c r="M241"/>
      <c r="N241"/>
      <c r="O241"/>
      <c r="P241"/>
      <c r="Q241"/>
      <c r="R241"/>
      <c r="S241"/>
      <c r="T241"/>
      <c r="U241"/>
      <c r="V241"/>
      <c r="W241"/>
      <c r="X241"/>
      <c r="Y241"/>
      <c r="Z241"/>
    </row>
    <row r="242" spans="1:26">
      <c r="A242"/>
      <c r="B242"/>
      <c r="C242" s="134" t="s">
        <v>2423</v>
      </c>
      <c r="D242" s="106" t="s">
        <v>140</v>
      </c>
      <c r="F242"/>
      <c r="G242"/>
      <c r="H242"/>
      <c r="I242"/>
      <c r="J242"/>
      <c r="K242"/>
      <c r="L242"/>
      <c r="M242"/>
      <c r="N242"/>
      <c r="O242"/>
      <c r="P242"/>
      <c r="Q242"/>
      <c r="R242"/>
      <c r="S242"/>
      <c r="T242"/>
      <c r="U242"/>
      <c r="V242"/>
      <c r="W242"/>
      <c r="X242"/>
      <c r="Y242"/>
      <c r="Z242"/>
    </row>
    <row r="243" spans="1:26">
      <c r="A243"/>
      <c r="B243"/>
      <c r="C243" s="134" t="s">
        <v>2433</v>
      </c>
      <c r="D243" s="106" t="s">
        <v>140</v>
      </c>
      <c r="F243"/>
      <c r="G243"/>
      <c r="H243"/>
      <c r="I243"/>
      <c r="J243"/>
      <c r="K243"/>
      <c r="L243"/>
      <c r="M243"/>
      <c r="N243"/>
      <c r="O243"/>
      <c r="P243"/>
      <c r="Q243"/>
      <c r="R243"/>
      <c r="S243"/>
      <c r="T243"/>
      <c r="U243"/>
      <c r="V243"/>
      <c r="W243"/>
      <c r="X243"/>
      <c r="Y243"/>
      <c r="Z243"/>
    </row>
    <row r="244" spans="1:26" ht="60" customHeight="1">
      <c r="B244" s="50" t="s">
        <v>2460</v>
      </c>
      <c r="C244" s="134" t="s">
        <v>2565</v>
      </c>
      <c r="D244" s="106" t="s">
        <v>140</v>
      </c>
      <c r="E244" s="106">
        <v>47</v>
      </c>
    </row>
    <row r="245" spans="1:26">
      <c r="C245" s="134" t="s">
        <v>2426</v>
      </c>
      <c r="D245" s="106" t="s">
        <v>140</v>
      </c>
    </row>
    <row r="246" spans="1:26">
      <c r="A246"/>
      <c r="B246"/>
      <c r="C246" s="134" t="s">
        <v>2416</v>
      </c>
      <c r="D246" s="106" t="s">
        <v>140</v>
      </c>
      <c r="F246"/>
      <c r="G246"/>
      <c r="H246"/>
      <c r="I246"/>
      <c r="J246"/>
      <c r="K246"/>
      <c r="L246"/>
      <c r="M246"/>
      <c r="N246"/>
      <c r="O246"/>
      <c r="P246"/>
      <c r="Q246"/>
      <c r="R246"/>
      <c r="S246"/>
      <c r="T246"/>
      <c r="U246"/>
      <c r="V246"/>
      <c r="W246"/>
      <c r="X246"/>
      <c r="Y246"/>
      <c r="Z246"/>
    </row>
    <row r="247" spans="1:26">
      <c r="A247"/>
      <c r="B247"/>
      <c r="C247" s="134" t="s">
        <v>2427</v>
      </c>
      <c r="D247" s="106" t="s">
        <v>140</v>
      </c>
      <c r="F247"/>
      <c r="G247"/>
      <c r="H247"/>
      <c r="I247"/>
      <c r="J247"/>
      <c r="K247"/>
      <c r="L247"/>
      <c r="M247"/>
      <c r="N247"/>
      <c r="O247"/>
      <c r="P247"/>
      <c r="Q247"/>
      <c r="R247"/>
      <c r="S247"/>
      <c r="T247"/>
      <c r="U247"/>
      <c r="V247"/>
      <c r="W247"/>
      <c r="X247"/>
      <c r="Y247"/>
      <c r="Z247"/>
    </row>
    <row r="248" spans="1:26">
      <c r="A248"/>
      <c r="B248"/>
      <c r="C248" s="134" t="s">
        <v>2421</v>
      </c>
      <c r="D248" s="106" t="s">
        <v>140</v>
      </c>
      <c r="F248"/>
      <c r="G248"/>
      <c r="H248"/>
      <c r="I248"/>
      <c r="J248"/>
      <c r="K248"/>
      <c r="L248"/>
      <c r="M248"/>
      <c r="N248"/>
      <c r="O248"/>
      <c r="P248"/>
      <c r="Q248"/>
      <c r="R248"/>
      <c r="S248"/>
      <c r="T248"/>
      <c r="U248"/>
      <c r="V248"/>
      <c r="W248"/>
      <c r="X248"/>
      <c r="Y248"/>
      <c r="Z248"/>
    </row>
    <row r="249" spans="1:26">
      <c r="A249"/>
      <c r="B249"/>
      <c r="C249" s="134" t="s">
        <v>2436</v>
      </c>
      <c r="D249" s="106" t="s">
        <v>140</v>
      </c>
      <c r="F249"/>
      <c r="G249"/>
      <c r="H249"/>
      <c r="I249"/>
      <c r="J249"/>
      <c r="K249"/>
      <c r="L249"/>
      <c r="M249"/>
      <c r="N249"/>
      <c r="O249"/>
      <c r="P249"/>
      <c r="Q249"/>
      <c r="R249"/>
      <c r="S249"/>
      <c r="T249"/>
      <c r="U249"/>
      <c r="V249"/>
      <c r="W249"/>
      <c r="X249"/>
      <c r="Y249"/>
      <c r="Z249"/>
    </row>
    <row r="250" spans="1:26" ht="104.25" customHeight="1">
      <c r="B250" s="50" t="s">
        <v>2461</v>
      </c>
      <c r="C250" s="134" t="s">
        <v>2566</v>
      </c>
      <c r="D250" s="106" t="s">
        <v>140</v>
      </c>
      <c r="E250" s="106">
        <v>176</v>
      </c>
    </row>
    <row r="251" spans="1:26">
      <c r="C251" s="134" t="s">
        <v>2415</v>
      </c>
      <c r="D251" s="106" t="s">
        <v>140</v>
      </c>
    </row>
    <row r="252" spans="1:26">
      <c r="A252"/>
      <c r="B252"/>
      <c r="C252" s="134" t="s">
        <v>2416</v>
      </c>
      <c r="D252" s="106" t="s">
        <v>140</v>
      </c>
      <c r="F252"/>
      <c r="G252"/>
      <c r="H252"/>
      <c r="I252"/>
      <c r="J252"/>
      <c r="K252"/>
      <c r="L252"/>
      <c r="M252"/>
      <c r="N252"/>
      <c r="O252"/>
      <c r="P252"/>
      <c r="Q252"/>
      <c r="R252"/>
      <c r="S252"/>
      <c r="T252"/>
      <c r="U252"/>
      <c r="V252"/>
      <c r="W252"/>
      <c r="X252"/>
      <c r="Y252"/>
      <c r="Z252"/>
    </row>
    <row r="253" spans="1:26">
      <c r="A253"/>
      <c r="B253"/>
      <c r="C253" s="134" t="s">
        <v>2417</v>
      </c>
      <c r="D253" s="106" t="s">
        <v>140</v>
      </c>
      <c r="F253"/>
      <c r="G253"/>
      <c r="H253"/>
      <c r="I253"/>
      <c r="J253"/>
      <c r="K253"/>
      <c r="L253"/>
      <c r="M253"/>
      <c r="N253"/>
      <c r="O253"/>
      <c r="P253"/>
      <c r="Q253"/>
      <c r="R253"/>
      <c r="S253"/>
      <c r="T253"/>
      <c r="U253"/>
      <c r="V253"/>
      <c r="W253"/>
      <c r="X253"/>
      <c r="Y253"/>
      <c r="Z253"/>
    </row>
    <row r="254" spans="1:26">
      <c r="A254"/>
      <c r="B254"/>
      <c r="C254" s="134" t="s">
        <v>2429</v>
      </c>
      <c r="D254" s="106" t="s">
        <v>140</v>
      </c>
      <c r="F254"/>
      <c r="G254"/>
      <c r="H254"/>
      <c r="I254"/>
      <c r="J254"/>
      <c r="K254"/>
      <c r="L254"/>
      <c r="M254"/>
      <c r="N254"/>
      <c r="O254"/>
      <c r="P254"/>
      <c r="Q254"/>
      <c r="R254"/>
      <c r="S254"/>
      <c r="T254"/>
      <c r="U254"/>
      <c r="V254"/>
      <c r="W254"/>
      <c r="X254"/>
      <c r="Y254"/>
      <c r="Z254"/>
    </row>
    <row r="255" spans="1:26">
      <c r="A255"/>
      <c r="B255"/>
      <c r="C255" s="134" t="s">
        <v>2419</v>
      </c>
      <c r="D255" s="106" t="s">
        <v>140</v>
      </c>
      <c r="F255"/>
      <c r="G255"/>
      <c r="H255"/>
      <c r="I255"/>
      <c r="J255"/>
      <c r="K255"/>
      <c r="L255"/>
      <c r="M255"/>
      <c r="N255"/>
      <c r="O255"/>
      <c r="P255"/>
      <c r="Q255"/>
      <c r="R255"/>
      <c r="S255"/>
      <c r="T255"/>
      <c r="U255"/>
      <c r="V255"/>
      <c r="W255"/>
      <c r="X255"/>
      <c r="Y255"/>
      <c r="Z255"/>
    </row>
    <row r="256" spans="1:26">
      <c r="A256"/>
      <c r="B256"/>
      <c r="C256" s="134" t="s">
        <v>2420</v>
      </c>
      <c r="D256" s="106" t="s">
        <v>140</v>
      </c>
      <c r="F256"/>
      <c r="G256"/>
      <c r="H256"/>
      <c r="I256"/>
      <c r="J256"/>
      <c r="K256"/>
      <c r="L256"/>
      <c r="M256"/>
      <c r="N256"/>
      <c r="O256"/>
      <c r="P256"/>
      <c r="Q256"/>
      <c r="R256"/>
      <c r="S256"/>
      <c r="T256"/>
      <c r="U256"/>
      <c r="V256"/>
      <c r="W256"/>
      <c r="X256"/>
      <c r="Y256"/>
      <c r="Z256"/>
    </row>
    <row r="257" spans="1:26">
      <c r="A257"/>
      <c r="B257"/>
      <c r="C257" s="134" t="s">
        <v>2422</v>
      </c>
      <c r="D257" s="106" t="s">
        <v>140</v>
      </c>
      <c r="F257"/>
      <c r="G257"/>
      <c r="H257"/>
      <c r="I257"/>
      <c r="J257"/>
      <c r="K257"/>
      <c r="L257"/>
      <c r="M257"/>
      <c r="N257"/>
      <c r="O257"/>
      <c r="P257"/>
      <c r="Q257"/>
      <c r="R257"/>
      <c r="S257"/>
      <c r="T257"/>
      <c r="U257"/>
      <c r="V257"/>
      <c r="W257"/>
      <c r="X257"/>
      <c r="Y257"/>
      <c r="Z257"/>
    </row>
    <row r="258" spans="1:26">
      <c r="A258"/>
      <c r="B258"/>
      <c r="C258" s="134" t="s">
        <v>2423</v>
      </c>
      <c r="D258" s="106" t="s">
        <v>140</v>
      </c>
      <c r="F258"/>
      <c r="G258"/>
      <c r="H258"/>
      <c r="I258"/>
      <c r="J258"/>
      <c r="K258"/>
      <c r="L258"/>
      <c r="M258"/>
      <c r="N258"/>
      <c r="O258"/>
      <c r="P258"/>
      <c r="Q258"/>
      <c r="R258"/>
      <c r="S258"/>
      <c r="T258"/>
      <c r="U258"/>
      <c r="V258"/>
      <c r="W258"/>
      <c r="X258"/>
      <c r="Y258"/>
      <c r="Z258"/>
    </row>
    <row r="259" spans="1:26">
      <c r="A259"/>
      <c r="B259"/>
      <c r="C259" s="134" t="s">
        <v>2430</v>
      </c>
      <c r="D259" s="106" t="s">
        <v>140</v>
      </c>
      <c r="F259"/>
      <c r="G259"/>
      <c r="H259"/>
      <c r="I259"/>
      <c r="J259"/>
      <c r="K259"/>
      <c r="L259"/>
      <c r="M259"/>
      <c r="N259"/>
      <c r="O259"/>
      <c r="P259"/>
      <c r="Q259"/>
      <c r="R259"/>
      <c r="S259"/>
      <c r="T259"/>
      <c r="U259"/>
      <c r="V259"/>
      <c r="W259"/>
      <c r="X259"/>
      <c r="Y259"/>
      <c r="Z259"/>
    </row>
    <row r="260" spans="1:26">
      <c r="A260"/>
      <c r="B260"/>
      <c r="C260" s="134" t="s">
        <v>2432</v>
      </c>
      <c r="D260" s="106" t="s">
        <v>140</v>
      </c>
      <c r="F260"/>
      <c r="G260"/>
      <c r="H260"/>
      <c r="I260"/>
      <c r="J260"/>
      <c r="K260"/>
      <c r="L260"/>
      <c r="M260"/>
      <c r="N260"/>
      <c r="O260"/>
      <c r="P260"/>
      <c r="Q260"/>
      <c r="R260"/>
      <c r="S260"/>
      <c r="T260"/>
      <c r="U260"/>
      <c r="V260"/>
      <c r="W260"/>
      <c r="X260"/>
      <c r="Y260"/>
      <c r="Z260"/>
    </row>
    <row r="261" spans="1:26">
      <c r="A261"/>
      <c r="B261"/>
      <c r="C261" s="134" t="s">
        <v>2434</v>
      </c>
      <c r="D261" s="106" t="s">
        <v>140</v>
      </c>
      <c r="F261"/>
      <c r="G261"/>
      <c r="H261"/>
      <c r="I261"/>
      <c r="J261"/>
      <c r="K261"/>
      <c r="L261"/>
      <c r="M261"/>
      <c r="N261"/>
      <c r="O261"/>
      <c r="P261"/>
      <c r="Q261"/>
      <c r="R261"/>
      <c r="S261"/>
      <c r="T261"/>
      <c r="U261"/>
      <c r="V261"/>
      <c r="W261"/>
      <c r="X261"/>
      <c r="Y261"/>
      <c r="Z261"/>
    </row>
    <row r="262" spans="1:26">
      <c r="A262"/>
      <c r="B262"/>
      <c r="C262" s="134" t="s">
        <v>2437</v>
      </c>
      <c r="D262" s="106" t="s">
        <v>140</v>
      </c>
      <c r="F262"/>
      <c r="G262"/>
      <c r="H262"/>
      <c r="I262"/>
      <c r="J262"/>
      <c r="K262"/>
      <c r="L262"/>
      <c r="M262"/>
      <c r="N262"/>
      <c r="O262"/>
      <c r="P262"/>
      <c r="Q262"/>
      <c r="R262"/>
      <c r="S262"/>
      <c r="T262"/>
      <c r="U262"/>
      <c r="V262"/>
      <c r="W262"/>
      <c r="X262"/>
      <c r="Y262"/>
      <c r="Z262"/>
    </row>
    <row r="263" spans="1:26" ht="63.75">
      <c r="A263"/>
      <c r="B263" s="50" t="s">
        <v>2462</v>
      </c>
      <c r="C263" s="134" t="s">
        <v>2567</v>
      </c>
      <c r="D263" s="106" t="s">
        <v>140</v>
      </c>
      <c r="E263" s="106">
        <v>44</v>
      </c>
      <c r="F263"/>
      <c r="G263"/>
      <c r="H263"/>
      <c r="I263"/>
      <c r="J263"/>
      <c r="K263"/>
      <c r="L263"/>
      <c r="M263"/>
      <c r="N263"/>
      <c r="O263"/>
      <c r="P263"/>
      <c r="Q263"/>
      <c r="R263"/>
      <c r="S263"/>
      <c r="T263"/>
      <c r="U263"/>
      <c r="V263"/>
      <c r="W263"/>
      <c r="X263"/>
      <c r="Y263"/>
      <c r="Z263"/>
    </row>
    <row r="264" spans="1:26">
      <c r="A264"/>
      <c r="B264"/>
      <c r="C264" s="134" t="s">
        <v>2417</v>
      </c>
      <c r="D264" s="106" t="s">
        <v>140</v>
      </c>
      <c r="E264"/>
      <c r="F264"/>
      <c r="G264"/>
      <c r="H264"/>
      <c r="I264"/>
      <c r="J264"/>
      <c r="K264"/>
      <c r="L264"/>
      <c r="M264"/>
      <c r="N264"/>
      <c r="O264"/>
      <c r="P264"/>
      <c r="Q264"/>
      <c r="R264"/>
      <c r="S264"/>
      <c r="T264"/>
      <c r="U264"/>
      <c r="V264"/>
      <c r="W264"/>
      <c r="X264"/>
      <c r="Y264"/>
      <c r="Z264"/>
    </row>
    <row r="265" spans="1:26">
      <c r="A265"/>
      <c r="B265"/>
      <c r="C265" s="134" t="s">
        <v>2418</v>
      </c>
      <c r="D265" s="106" t="s">
        <v>140</v>
      </c>
      <c r="E265"/>
      <c r="F265"/>
      <c r="G265"/>
      <c r="H265"/>
      <c r="I265"/>
      <c r="J265"/>
      <c r="K265"/>
      <c r="L265"/>
      <c r="M265"/>
      <c r="N265"/>
      <c r="O265"/>
      <c r="P265"/>
      <c r="Q265"/>
      <c r="R265"/>
      <c r="S265"/>
      <c r="T265"/>
      <c r="U265"/>
      <c r="V265"/>
      <c r="W265"/>
      <c r="X265"/>
      <c r="Y265"/>
      <c r="Z265"/>
    </row>
    <row r="266" spans="1:26">
      <c r="A266"/>
      <c r="B266"/>
      <c r="C266" s="134" t="s">
        <v>2429</v>
      </c>
      <c r="D266" s="106" t="s">
        <v>140</v>
      </c>
      <c r="E266"/>
      <c r="F266"/>
      <c r="G266"/>
      <c r="H266"/>
      <c r="I266"/>
      <c r="J266"/>
      <c r="K266"/>
      <c r="L266"/>
      <c r="M266"/>
      <c r="N266"/>
      <c r="O266"/>
      <c r="P266"/>
      <c r="Q266"/>
      <c r="R266"/>
      <c r="S266"/>
      <c r="T266"/>
      <c r="U266"/>
      <c r="V266"/>
      <c r="W266"/>
      <c r="X266"/>
      <c r="Y266"/>
      <c r="Z266"/>
    </row>
    <row r="267" spans="1:26">
      <c r="A267"/>
      <c r="B267"/>
      <c r="C267" s="134" t="s">
        <v>2420</v>
      </c>
      <c r="D267" s="106" t="s">
        <v>140</v>
      </c>
      <c r="E267"/>
      <c r="F267"/>
      <c r="G267"/>
      <c r="H267"/>
      <c r="I267"/>
      <c r="J267"/>
      <c r="K267"/>
      <c r="L267"/>
      <c r="M267"/>
      <c r="N267"/>
      <c r="O267"/>
      <c r="P267"/>
      <c r="Q267"/>
      <c r="R267"/>
      <c r="S267"/>
      <c r="T267"/>
      <c r="U267"/>
      <c r="V267"/>
      <c r="W267"/>
      <c r="X267"/>
      <c r="Y267"/>
      <c r="Z267"/>
    </row>
    <row r="268" spans="1:26">
      <c r="A268"/>
      <c r="B268"/>
      <c r="C268" s="134" t="s">
        <v>2421</v>
      </c>
      <c r="D268" s="106" t="s">
        <v>140</v>
      </c>
      <c r="E268"/>
      <c r="F268"/>
      <c r="G268"/>
      <c r="H268"/>
      <c r="I268"/>
      <c r="J268"/>
      <c r="K268"/>
      <c r="L268"/>
      <c r="M268"/>
      <c r="N268"/>
      <c r="O268"/>
      <c r="P268"/>
      <c r="Q268"/>
      <c r="R268"/>
      <c r="S268"/>
      <c r="T268"/>
      <c r="U268"/>
      <c r="V268"/>
      <c r="W268"/>
      <c r="X268"/>
      <c r="Y268"/>
      <c r="Z268"/>
    </row>
    <row r="269" spans="1:26">
      <c r="A269"/>
      <c r="B269"/>
      <c r="C269" s="134" t="s">
        <v>2423</v>
      </c>
      <c r="D269" s="106" t="s">
        <v>140</v>
      </c>
      <c r="E269"/>
      <c r="F269"/>
      <c r="G269"/>
      <c r="H269"/>
      <c r="I269"/>
      <c r="J269"/>
      <c r="K269"/>
      <c r="L269"/>
      <c r="M269"/>
      <c r="N269"/>
      <c r="O269"/>
      <c r="P269"/>
      <c r="Q269"/>
      <c r="R269"/>
      <c r="S269"/>
      <c r="T269"/>
      <c r="U269"/>
      <c r="V269"/>
      <c r="W269"/>
      <c r="X269"/>
      <c r="Y269"/>
      <c r="Z269"/>
    </row>
    <row r="270" spans="1:26">
      <c r="A270"/>
      <c r="B270"/>
      <c r="C270" s="134" t="s">
        <v>2436</v>
      </c>
      <c r="D270" s="106" t="s">
        <v>140</v>
      </c>
      <c r="E270"/>
      <c r="F270"/>
      <c r="G270"/>
      <c r="H270"/>
      <c r="I270"/>
      <c r="J270"/>
      <c r="K270"/>
      <c r="L270"/>
      <c r="M270"/>
      <c r="N270"/>
      <c r="O270"/>
      <c r="P270"/>
      <c r="Q270"/>
      <c r="R270"/>
      <c r="S270"/>
      <c r="T270"/>
      <c r="U270"/>
      <c r="V270"/>
      <c r="W270"/>
      <c r="X270"/>
      <c r="Y270"/>
      <c r="Z270"/>
    </row>
    <row r="271" spans="1:26" ht="38.25">
      <c r="A271"/>
      <c r="B271" s="50" t="s">
        <v>2463</v>
      </c>
      <c r="C271" s="134" t="s">
        <v>2568</v>
      </c>
      <c r="D271" s="106" t="s">
        <v>140</v>
      </c>
      <c r="E271" s="106">
        <v>8</v>
      </c>
      <c r="F271"/>
      <c r="G271"/>
      <c r="H271"/>
      <c r="I271"/>
      <c r="J271"/>
      <c r="K271"/>
      <c r="L271"/>
      <c r="M271"/>
      <c r="N271"/>
      <c r="O271"/>
      <c r="P271"/>
      <c r="Q271"/>
      <c r="R271"/>
      <c r="S271"/>
      <c r="T271"/>
      <c r="U271"/>
      <c r="V271"/>
      <c r="W271"/>
      <c r="X271"/>
      <c r="Y271"/>
      <c r="Z271"/>
    </row>
    <row r="272" spans="1:26">
      <c r="A272"/>
      <c r="B272"/>
      <c r="C272" s="134" t="s">
        <v>2416</v>
      </c>
      <c r="D272" s="106" t="s">
        <v>140</v>
      </c>
      <c r="E272"/>
      <c r="F272"/>
      <c r="G272"/>
      <c r="H272"/>
      <c r="I272"/>
      <c r="J272"/>
      <c r="K272"/>
      <c r="L272"/>
      <c r="M272"/>
      <c r="N272"/>
      <c r="O272"/>
      <c r="P272"/>
      <c r="Q272"/>
      <c r="R272"/>
      <c r="S272"/>
      <c r="T272"/>
      <c r="U272"/>
      <c r="V272"/>
      <c r="W272"/>
      <c r="X272"/>
      <c r="Y272"/>
      <c r="Z272"/>
    </row>
    <row r="273" spans="1:26" ht="90" customHeight="1">
      <c r="A273"/>
      <c r="B273" s="50" t="s">
        <v>2464</v>
      </c>
      <c r="C273" s="134" t="s">
        <v>2569</v>
      </c>
      <c r="D273" s="106" t="s">
        <v>140</v>
      </c>
      <c r="E273" s="106">
        <v>13</v>
      </c>
      <c r="F273"/>
      <c r="G273"/>
      <c r="H273"/>
      <c r="I273"/>
      <c r="J273"/>
      <c r="K273"/>
      <c r="L273"/>
      <c r="M273"/>
      <c r="N273"/>
      <c r="O273"/>
      <c r="P273"/>
      <c r="Q273"/>
      <c r="R273"/>
      <c r="S273"/>
      <c r="T273"/>
      <c r="U273"/>
      <c r="V273"/>
      <c r="W273"/>
      <c r="X273"/>
      <c r="Y273"/>
      <c r="Z273"/>
    </row>
    <row r="274" spans="1:26">
      <c r="A274"/>
      <c r="B274"/>
      <c r="C274" s="134" t="s">
        <v>2416</v>
      </c>
      <c r="D274" s="106" t="s">
        <v>140</v>
      </c>
      <c r="E274"/>
      <c r="F274"/>
      <c r="G274"/>
      <c r="H274"/>
      <c r="I274"/>
      <c r="J274"/>
      <c r="K274"/>
      <c r="L274"/>
      <c r="M274"/>
      <c r="N274"/>
      <c r="O274"/>
      <c r="P274"/>
      <c r="Q274"/>
      <c r="R274"/>
      <c r="S274"/>
      <c r="T274"/>
      <c r="U274"/>
      <c r="V274"/>
      <c r="W274"/>
      <c r="X274"/>
      <c r="Y274"/>
      <c r="Z274"/>
    </row>
    <row r="275" spans="1:26">
      <c r="A275"/>
      <c r="B275"/>
      <c r="C275" s="134" t="s">
        <v>2427</v>
      </c>
      <c r="D275" s="106" t="s">
        <v>140</v>
      </c>
      <c r="E275"/>
      <c r="F275"/>
      <c r="G275"/>
      <c r="H275"/>
      <c r="I275"/>
      <c r="J275"/>
      <c r="K275"/>
      <c r="L275"/>
      <c r="M275"/>
      <c r="N275"/>
      <c r="O275"/>
      <c r="P275"/>
      <c r="Q275"/>
      <c r="R275"/>
      <c r="S275"/>
      <c r="T275"/>
      <c r="U275"/>
      <c r="V275"/>
      <c r="W275"/>
      <c r="X275"/>
      <c r="Y275"/>
      <c r="Z275"/>
    </row>
    <row r="276" spans="1:26" ht="140.25">
      <c r="A276"/>
      <c r="B276" s="50" t="s">
        <v>2465</v>
      </c>
      <c r="C276" s="134" t="s">
        <v>2570</v>
      </c>
      <c r="D276" s="106" t="s">
        <v>140</v>
      </c>
      <c r="E276" s="106">
        <v>13</v>
      </c>
      <c r="F276"/>
      <c r="G276"/>
      <c r="H276"/>
      <c r="I276"/>
      <c r="J276"/>
      <c r="K276"/>
      <c r="L276"/>
      <c r="M276"/>
      <c r="N276"/>
      <c r="O276"/>
      <c r="P276"/>
      <c r="Q276"/>
      <c r="R276"/>
      <c r="S276"/>
      <c r="T276"/>
      <c r="U276"/>
      <c r="V276"/>
      <c r="W276"/>
      <c r="X276"/>
      <c r="Y276"/>
      <c r="Z276"/>
    </row>
    <row r="277" spans="1:26">
      <c r="A277"/>
      <c r="B277"/>
      <c r="C277" s="134" t="s">
        <v>2429</v>
      </c>
      <c r="D277" s="106" t="s">
        <v>140</v>
      </c>
      <c r="E277"/>
      <c r="F277"/>
      <c r="G277"/>
      <c r="H277"/>
      <c r="I277"/>
      <c r="J277"/>
      <c r="K277"/>
      <c r="L277"/>
      <c r="M277"/>
      <c r="N277"/>
      <c r="O277"/>
      <c r="P277"/>
      <c r="Q277"/>
      <c r="R277"/>
      <c r="S277"/>
      <c r="T277"/>
      <c r="U277"/>
      <c r="V277"/>
      <c r="W277"/>
      <c r="X277"/>
      <c r="Y277"/>
      <c r="Z277"/>
    </row>
    <row r="278" spans="1:26" ht="77.25" customHeight="1">
      <c r="A278"/>
      <c r="B278" s="50" t="s">
        <v>2466</v>
      </c>
      <c r="C278" s="134" t="s">
        <v>2571</v>
      </c>
      <c r="D278" s="106" t="s">
        <v>140</v>
      </c>
      <c r="E278" s="106">
        <v>13</v>
      </c>
      <c r="F278"/>
      <c r="G278"/>
      <c r="H278"/>
      <c r="I278"/>
      <c r="J278"/>
      <c r="K278"/>
      <c r="L278"/>
      <c r="M278"/>
      <c r="N278"/>
      <c r="O278"/>
      <c r="P278"/>
      <c r="Q278"/>
      <c r="R278"/>
      <c r="S278"/>
      <c r="T278"/>
      <c r="U278"/>
      <c r="V278"/>
      <c r="W278"/>
      <c r="X278"/>
      <c r="Y278"/>
      <c r="Z278"/>
    </row>
    <row r="279" spans="1:26">
      <c r="A279"/>
      <c r="B279"/>
      <c r="C279" s="134" t="s">
        <v>2429</v>
      </c>
      <c r="D279" s="106" t="s">
        <v>140</v>
      </c>
      <c r="E279"/>
      <c r="F279"/>
      <c r="G279"/>
      <c r="H279"/>
      <c r="I279"/>
      <c r="J279"/>
      <c r="K279"/>
      <c r="L279"/>
      <c r="M279"/>
      <c r="N279"/>
      <c r="O279"/>
      <c r="P279"/>
      <c r="Q279"/>
      <c r="R279"/>
      <c r="S279"/>
      <c r="T279"/>
      <c r="U279"/>
      <c r="V279"/>
      <c r="W279"/>
      <c r="X279"/>
      <c r="Y279"/>
      <c r="Z279"/>
    </row>
    <row r="280" spans="1:26" ht="76.5">
      <c r="A280"/>
      <c r="B280" s="50" t="s">
        <v>2467</v>
      </c>
      <c r="C280" s="134" t="s">
        <v>2572</v>
      </c>
      <c r="D280" s="106" t="s">
        <v>140</v>
      </c>
      <c r="E280" s="106">
        <v>26</v>
      </c>
      <c r="F280"/>
      <c r="G280"/>
      <c r="H280"/>
      <c r="I280"/>
      <c r="J280"/>
      <c r="K280"/>
      <c r="L280"/>
      <c r="M280"/>
      <c r="N280"/>
      <c r="O280"/>
      <c r="P280"/>
      <c r="Q280"/>
      <c r="R280"/>
      <c r="S280"/>
      <c r="T280"/>
      <c r="U280"/>
      <c r="V280"/>
      <c r="W280"/>
      <c r="X280"/>
      <c r="Y280"/>
      <c r="Z280"/>
    </row>
    <row r="281" spans="1:26">
      <c r="A281"/>
      <c r="B281"/>
      <c r="C281" s="134" t="s">
        <v>2429</v>
      </c>
      <c r="D281" s="106" t="s">
        <v>140</v>
      </c>
      <c r="E281"/>
      <c r="F281"/>
      <c r="G281"/>
      <c r="H281"/>
      <c r="I281"/>
      <c r="J281"/>
      <c r="K281"/>
      <c r="L281"/>
      <c r="M281"/>
      <c r="N281"/>
      <c r="O281"/>
      <c r="P281"/>
      <c r="Q281"/>
      <c r="R281"/>
      <c r="S281"/>
      <c r="T281"/>
      <c r="U281"/>
      <c r="V281"/>
      <c r="W281"/>
      <c r="X281"/>
      <c r="Y281"/>
      <c r="Z281"/>
    </row>
    <row r="282" spans="1:26" ht="77.25" customHeight="1">
      <c r="B282" s="50" t="s">
        <v>2468</v>
      </c>
      <c r="C282" s="134" t="s">
        <v>2573</v>
      </c>
      <c r="D282" s="106" t="s">
        <v>140</v>
      </c>
      <c r="E282" s="106">
        <v>136</v>
      </c>
    </row>
    <row r="283" spans="1:26">
      <c r="C283" s="134" t="s">
        <v>2425</v>
      </c>
      <c r="D283" s="106" t="s">
        <v>140</v>
      </c>
    </row>
    <row r="284" spans="1:26">
      <c r="C284" s="134" t="s">
        <v>2415</v>
      </c>
      <c r="D284" s="106" t="s">
        <v>140</v>
      </c>
    </row>
    <row r="285" spans="1:26">
      <c r="A285"/>
      <c r="B285"/>
      <c r="C285" s="134" t="s">
        <v>2416</v>
      </c>
      <c r="D285" s="106" t="s">
        <v>140</v>
      </c>
      <c r="F285"/>
      <c r="G285"/>
      <c r="H285"/>
      <c r="I285"/>
      <c r="J285"/>
      <c r="K285"/>
      <c r="L285"/>
      <c r="M285"/>
      <c r="N285"/>
      <c r="O285"/>
      <c r="P285"/>
      <c r="Q285"/>
      <c r="R285"/>
      <c r="S285"/>
      <c r="T285"/>
      <c r="U285"/>
      <c r="V285"/>
      <c r="W285"/>
      <c r="X285"/>
      <c r="Y285"/>
      <c r="Z285"/>
    </row>
    <row r="286" spans="1:26">
      <c r="A286"/>
      <c r="B286"/>
      <c r="C286" s="134" t="s">
        <v>2417</v>
      </c>
      <c r="D286" s="106" t="s">
        <v>140</v>
      </c>
      <c r="F286"/>
      <c r="G286"/>
      <c r="H286"/>
      <c r="I286"/>
      <c r="J286"/>
      <c r="K286"/>
      <c r="L286"/>
      <c r="M286"/>
      <c r="N286"/>
      <c r="O286"/>
      <c r="P286"/>
      <c r="Q286"/>
      <c r="R286"/>
      <c r="S286"/>
      <c r="T286"/>
      <c r="U286"/>
      <c r="V286"/>
      <c r="W286"/>
      <c r="X286"/>
      <c r="Y286"/>
      <c r="Z286"/>
    </row>
    <row r="287" spans="1:26">
      <c r="A287"/>
      <c r="B287"/>
      <c r="C287" s="134" t="s">
        <v>2418</v>
      </c>
      <c r="D287" s="106" t="s">
        <v>140</v>
      </c>
      <c r="F287"/>
      <c r="G287"/>
      <c r="H287"/>
      <c r="I287"/>
      <c r="J287"/>
      <c r="K287"/>
      <c r="L287"/>
      <c r="M287"/>
      <c r="N287"/>
      <c r="O287"/>
      <c r="P287"/>
      <c r="Q287"/>
      <c r="R287"/>
      <c r="S287"/>
      <c r="T287"/>
      <c r="U287"/>
      <c r="V287"/>
      <c r="W287"/>
      <c r="X287"/>
      <c r="Y287"/>
      <c r="Z287"/>
    </row>
    <row r="288" spans="1:26">
      <c r="A288"/>
      <c r="B288"/>
      <c r="C288" s="134" t="s">
        <v>2427</v>
      </c>
      <c r="D288" s="106" t="s">
        <v>140</v>
      </c>
      <c r="F288"/>
      <c r="G288"/>
      <c r="H288"/>
      <c r="I288"/>
      <c r="J288"/>
      <c r="K288"/>
      <c r="L288"/>
      <c r="M288"/>
      <c r="N288"/>
      <c r="O288"/>
      <c r="P288"/>
      <c r="Q288"/>
      <c r="R288"/>
      <c r="S288"/>
      <c r="T288"/>
      <c r="U288"/>
      <c r="V288"/>
      <c r="W288"/>
      <c r="X288"/>
      <c r="Y288"/>
      <c r="Z288"/>
    </row>
    <row r="289" spans="1:26">
      <c r="A289"/>
      <c r="B289"/>
      <c r="C289" s="134" t="s">
        <v>2428</v>
      </c>
      <c r="D289" s="106" t="s">
        <v>140</v>
      </c>
      <c r="F289"/>
      <c r="G289"/>
      <c r="H289"/>
      <c r="I289"/>
      <c r="J289"/>
      <c r="K289"/>
      <c r="L289"/>
      <c r="M289"/>
      <c r="N289"/>
      <c r="O289"/>
      <c r="P289"/>
      <c r="Q289"/>
      <c r="R289"/>
      <c r="S289"/>
      <c r="T289"/>
      <c r="U289"/>
      <c r="V289"/>
      <c r="W289"/>
      <c r="X289"/>
      <c r="Y289"/>
      <c r="Z289"/>
    </row>
    <row r="290" spans="1:26">
      <c r="A290"/>
      <c r="B290"/>
      <c r="C290" s="134" t="s">
        <v>2429</v>
      </c>
      <c r="D290" s="106" t="s">
        <v>140</v>
      </c>
      <c r="F290"/>
      <c r="G290"/>
      <c r="H290"/>
      <c r="I290"/>
      <c r="J290"/>
      <c r="K290"/>
      <c r="L290"/>
      <c r="M290"/>
      <c r="N290"/>
      <c r="O290"/>
      <c r="P290"/>
      <c r="Q290"/>
      <c r="R290"/>
      <c r="S290"/>
      <c r="T290"/>
      <c r="U290"/>
      <c r="V290"/>
      <c r="W290"/>
      <c r="X290"/>
      <c r="Y290"/>
      <c r="Z290"/>
    </row>
    <row r="291" spans="1:26">
      <c r="A291"/>
      <c r="B291"/>
      <c r="C291" s="134" t="s">
        <v>2419</v>
      </c>
      <c r="D291" s="106" t="s">
        <v>140</v>
      </c>
      <c r="F291"/>
      <c r="G291"/>
      <c r="H291"/>
      <c r="I291"/>
      <c r="J291"/>
      <c r="K291"/>
      <c r="L291"/>
      <c r="M291"/>
      <c r="N291"/>
      <c r="O291"/>
      <c r="P291"/>
      <c r="Q291"/>
      <c r="R291"/>
      <c r="S291"/>
      <c r="T291"/>
      <c r="U291"/>
      <c r="V291"/>
      <c r="W291"/>
      <c r="X291"/>
      <c r="Y291"/>
      <c r="Z291"/>
    </row>
    <row r="292" spans="1:26">
      <c r="A292"/>
      <c r="B292"/>
      <c r="C292" s="134" t="s">
        <v>2420</v>
      </c>
      <c r="D292" s="106" t="s">
        <v>140</v>
      </c>
      <c r="F292"/>
      <c r="G292"/>
      <c r="H292"/>
      <c r="I292"/>
      <c r="J292"/>
      <c r="K292"/>
      <c r="L292"/>
      <c r="M292"/>
      <c r="N292"/>
      <c r="O292"/>
      <c r="P292"/>
      <c r="Q292"/>
      <c r="R292"/>
      <c r="S292"/>
      <c r="T292"/>
      <c r="U292"/>
      <c r="V292"/>
      <c r="W292"/>
      <c r="X292"/>
      <c r="Y292"/>
      <c r="Z292"/>
    </row>
    <row r="293" spans="1:26">
      <c r="A293"/>
      <c r="B293"/>
      <c r="C293" s="134" t="s">
        <v>2436</v>
      </c>
      <c r="D293" s="106" t="s">
        <v>140</v>
      </c>
      <c r="F293"/>
      <c r="G293"/>
      <c r="H293"/>
      <c r="I293"/>
      <c r="J293"/>
      <c r="K293"/>
      <c r="L293"/>
      <c r="M293"/>
      <c r="N293"/>
      <c r="O293"/>
      <c r="P293"/>
      <c r="Q293"/>
      <c r="R293"/>
      <c r="S293"/>
      <c r="T293"/>
      <c r="U293"/>
      <c r="V293"/>
      <c r="W293"/>
      <c r="X293"/>
      <c r="Y293"/>
      <c r="Z293"/>
    </row>
    <row r="294" spans="1:26">
      <c r="A294"/>
      <c r="B294"/>
      <c r="C294" s="134" t="s">
        <v>2437</v>
      </c>
      <c r="D294" s="106" t="s">
        <v>140</v>
      </c>
      <c r="F294"/>
      <c r="G294"/>
      <c r="H294"/>
      <c r="I294"/>
      <c r="J294"/>
      <c r="K294"/>
      <c r="L294"/>
      <c r="M294"/>
      <c r="N294"/>
      <c r="O294"/>
      <c r="P294"/>
      <c r="Q294"/>
      <c r="R294"/>
      <c r="S294"/>
      <c r="T294"/>
      <c r="U294"/>
      <c r="V294"/>
      <c r="W294"/>
      <c r="X294"/>
      <c r="Y294"/>
      <c r="Z294"/>
    </row>
    <row r="295" spans="1:26" ht="76.5">
      <c r="A295"/>
      <c r="B295" s="50" t="s">
        <v>2469</v>
      </c>
      <c r="C295" s="134" t="s">
        <v>2574</v>
      </c>
      <c r="D295" s="106" t="s">
        <v>140</v>
      </c>
      <c r="E295" s="106">
        <v>66</v>
      </c>
      <c r="F295"/>
      <c r="G295"/>
      <c r="H295"/>
      <c r="I295"/>
      <c r="J295"/>
      <c r="K295"/>
      <c r="L295"/>
      <c r="M295"/>
      <c r="N295"/>
      <c r="O295"/>
      <c r="P295"/>
      <c r="Q295"/>
      <c r="R295"/>
      <c r="S295"/>
      <c r="T295"/>
      <c r="U295"/>
      <c r="V295"/>
      <c r="W295"/>
      <c r="X295"/>
      <c r="Y295"/>
      <c r="Z295"/>
    </row>
    <row r="296" spans="1:26">
      <c r="A296"/>
      <c r="B296"/>
      <c r="C296" s="134" t="s">
        <v>2432</v>
      </c>
      <c r="D296" s="106" t="s">
        <v>140</v>
      </c>
      <c r="E296"/>
      <c r="F296"/>
      <c r="G296"/>
      <c r="H296"/>
      <c r="I296"/>
      <c r="J296"/>
      <c r="K296"/>
      <c r="L296"/>
      <c r="M296"/>
      <c r="N296"/>
      <c r="O296"/>
      <c r="P296"/>
      <c r="Q296"/>
      <c r="R296"/>
      <c r="S296"/>
      <c r="T296"/>
      <c r="U296"/>
      <c r="V296"/>
      <c r="W296"/>
      <c r="X296"/>
      <c r="Y296"/>
      <c r="Z296"/>
    </row>
    <row r="297" spans="1:26" ht="127.5">
      <c r="A297"/>
      <c r="B297" s="50" t="s">
        <v>2470</v>
      </c>
      <c r="C297" s="134" t="s">
        <v>2575</v>
      </c>
      <c r="D297" s="106" t="s">
        <v>140</v>
      </c>
      <c r="E297" s="106">
        <v>56</v>
      </c>
      <c r="F297"/>
      <c r="G297"/>
      <c r="H297"/>
      <c r="I297"/>
      <c r="J297"/>
      <c r="K297"/>
      <c r="L297"/>
      <c r="M297"/>
      <c r="N297"/>
      <c r="O297"/>
      <c r="P297"/>
      <c r="Q297"/>
      <c r="R297"/>
      <c r="S297"/>
      <c r="T297"/>
      <c r="U297"/>
      <c r="V297"/>
      <c r="W297"/>
      <c r="X297"/>
      <c r="Y297"/>
      <c r="Z297"/>
    </row>
    <row r="298" spans="1:26">
      <c r="A298"/>
      <c r="B298"/>
      <c r="C298" s="134" t="s">
        <v>2422</v>
      </c>
      <c r="D298" s="106" t="s">
        <v>140</v>
      </c>
      <c r="E298"/>
      <c r="F298"/>
      <c r="G298"/>
      <c r="H298"/>
      <c r="I298"/>
      <c r="J298"/>
      <c r="K298"/>
      <c r="L298"/>
      <c r="M298"/>
      <c r="N298"/>
      <c r="O298"/>
      <c r="P298"/>
      <c r="Q298"/>
      <c r="R298"/>
      <c r="S298"/>
      <c r="T298"/>
      <c r="U298"/>
      <c r="V298"/>
      <c r="W298"/>
      <c r="X298"/>
      <c r="Y298"/>
      <c r="Z298"/>
    </row>
    <row r="299" spans="1:26">
      <c r="A299"/>
      <c r="B299"/>
      <c r="C299" s="134" t="s">
        <v>2423</v>
      </c>
      <c r="D299" s="106" t="s">
        <v>140</v>
      </c>
      <c r="E299"/>
      <c r="F299"/>
      <c r="G299"/>
      <c r="H299"/>
      <c r="I299"/>
      <c r="J299"/>
      <c r="K299"/>
      <c r="L299"/>
      <c r="M299"/>
      <c r="N299"/>
      <c r="O299"/>
      <c r="P299"/>
      <c r="Q299"/>
      <c r="R299"/>
      <c r="S299"/>
      <c r="T299"/>
      <c r="U299"/>
      <c r="V299"/>
      <c r="W299"/>
      <c r="X299"/>
      <c r="Y299"/>
      <c r="Z299"/>
    </row>
    <row r="300" spans="1:26">
      <c r="A300"/>
      <c r="B300"/>
      <c r="C300" s="134" t="s">
        <v>2430</v>
      </c>
      <c r="D300" s="106" t="s">
        <v>140</v>
      </c>
      <c r="E300"/>
      <c r="F300"/>
      <c r="G300"/>
      <c r="H300"/>
      <c r="I300"/>
      <c r="J300"/>
      <c r="K300"/>
      <c r="L300"/>
      <c r="M300"/>
      <c r="N300"/>
      <c r="O300"/>
      <c r="P300"/>
      <c r="Q300"/>
      <c r="R300"/>
      <c r="S300"/>
      <c r="T300"/>
      <c r="U300"/>
      <c r="V300"/>
      <c r="W300"/>
      <c r="X300"/>
      <c r="Y300"/>
      <c r="Z300"/>
    </row>
    <row r="301" spans="1:26">
      <c r="A301"/>
      <c r="B301"/>
      <c r="C301" s="134" t="s">
        <v>2433</v>
      </c>
      <c r="D301" s="106" t="s">
        <v>140</v>
      </c>
      <c r="E301"/>
      <c r="F301"/>
      <c r="G301"/>
      <c r="H301"/>
      <c r="I301"/>
      <c r="J301"/>
      <c r="K301"/>
      <c r="L301"/>
      <c r="M301"/>
      <c r="N301"/>
      <c r="O301"/>
      <c r="P301"/>
      <c r="Q301"/>
      <c r="R301"/>
      <c r="S301"/>
      <c r="T301"/>
      <c r="U301"/>
      <c r="V301"/>
      <c r="W301"/>
      <c r="X301"/>
      <c r="Y301"/>
      <c r="Z301"/>
    </row>
    <row r="302" spans="1:26">
      <c r="A302"/>
      <c r="B302"/>
      <c r="C302" s="134" t="s">
        <v>2434</v>
      </c>
      <c r="D302" s="106" t="s">
        <v>140</v>
      </c>
      <c r="E302"/>
      <c r="F302"/>
      <c r="G302"/>
      <c r="H302"/>
      <c r="I302"/>
      <c r="J302"/>
      <c r="K302"/>
      <c r="L302"/>
      <c r="M302"/>
      <c r="N302"/>
      <c r="O302"/>
      <c r="P302"/>
      <c r="Q302"/>
      <c r="R302"/>
      <c r="S302"/>
      <c r="T302"/>
      <c r="U302"/>
      <c r="V302"/>
      <c r="W302"/>
      <c r="X302"/>
      <c r="Y302"/>
      <c r="Z302"/>
    </row>
    <row r="303" spans="1:26" ht="76.5">
      <c r="A303"/>
      <c r="B303" s="50" t="s">
        <v>2471</v>
      </c>
      <c r="C303" s="134" t="s">
        <v>2576</v>
      </c>
      <c r="D303" s="106" t="s">
        <v>140</v>
      </c>
      <c r="E303" s="106">
        <v>20</v>
      </c>
      <c r="F303"/>
      <c r="G303"/>
      <c r="H303"/>
      <c r="I303"/>
      <c r="J303"/>
      <c r="K303"/>
      <c r="L303"/>
      <c r="M303"/>
      <c r="N303"/>
      <c r="O303"/>
      <c r="P303"/>
      <c r="Q303"/>
      <c r="R303"/>
      <c r="S303"/>
      <c r="T303"/>
      <c r="U303"/>
      <c r="V303"/>
      <c r="W303"/>
      <c r="X303"/>
      <c r="Y303"/>
      <c r="Z303"/>
    </row>
    <row r="304" spans="1:26">
      <c r="A304"/>
      <c r="B304"/>
      <c r="C304" s="134" t="s">
        <v>2426</v>
      </c>
      <c r="D304" s="106" t="s">
        <v>140</v>
      </c>
      <c r="E304"/>
      <c r="F304"/>
      <c r="G304"/>
      <c r="H304"/>
      <c r="I304"/>
      <c r="J304"/>
      <c r="K304"/>
      <c r="L304"/>
      <c r="M304"/>
      <c r="N304"/>
      <c r="O304"/>
      <c r="P304"/>
      <c r="Q304"/>
      <c r="R304"/>
      <c r="S304"/>
      <c r="T304"/>
      <c r="U304"/>
      <c r="V304"/>
      <c r="W304"/>
      <c r="X304"/>
      <c r="Y304"/>
      <c r="Z304"/>
    </row>
    <row r="305" spans="1:26" ht="51">
      <c r="B305" s="50" t="s">
        <v>2472</v>
      </c>
      <c r="C305" s="134" t="s">
        <v>2577</v>
      </c>
      <c r="D305" s="106" t="s">
        <v>140</v>
      </c>
      <c r="E305" s="106">
        <v>6</v>
      </c>
    </row>
    <row r="306" spans="1:26">
      <c r="C306" s="134" t="s">
        <v>2421</v>
      </c>
      <c r="D306" s="106" t="s">
        <v>140</v>
      </c>
    </row>
    <row r="307" spans="1:26" ht="102.75" customHeight="1">
      <c r="B307" s="50" t="s">
        <v>2473</v>
      </c>
      <c r="C307" s="134" t="s">
        <v>2578</v>
      </c>
      <c r="D307" s="106" t="s">
        <v>140</v>
      </c>
      <c r="E307" s="106">
        <v>196</v>
      </c>
    </row>
    <row r="308" spans="1:26">
      <c r="C308" s="134" t="s">
        <v>2425</v>
      </c>
      <c r="D308" s="106" t="s">
        <v>140</v>
      </c>
    </row>
    <row r="309" spans="1:26">
      <c r="C309" s="134" t="s">
        <v>2415</v>
      </c>
      <c r="D309" s="106" t="s">
        <v>140</v>
      </c>
    </row>
    <row r="310" spans="1:26">
      <c r="A310"/>
      <c r="B310"/>
      <c r="C310" s="134" t="s">
        <v>2416</v>
      </c>
      <c r="D310" s="106" t="s">
        <v>140</v>
      </c>
      <c r="F310"/>
      <c r="G310"/>
      <c r="H310"/>
      <c r="I310"/>
      <c r="J310"/>
      <c r="K310"/>
      <c r="L310"/>
      <c r="M310"/>
      <c r="N310"/>
      <c r="O310"/>
      <c r="P310"/>
      <c r="Q310"/>
      <c r="R310"/>
      <c r="S310"/>
      <c r="T310"/>
      <c r="U310"/>
      <c r="V310"/>
      <c r="W310"/>
      <c r="X310"/>
      <c r="Y310"/>
      <c r="Z310"/>
    </row>
    <row r="311" spans="1:26">
      <c r="A311"/>
      <c r="B311"/>
      <c r="C311" s="134" t="s">
        <v>2417</v>
      </c>
      <c r="D311" s="106" t="s">
        <v>140</v>
      </c>
      <c r="F311"/>
      <c r="G311"/>
      <c r="H311"/>
      <c r="I311"/>
      <c r="J311"/>
      <c r="K311"/>
      <c r="L311"/>
      <c r="M311"/>
      <c r="N311"/>
      <c r="O311"/>
      <c r="P311"/>
      <c r="Q311"/>
      <c r="R311"/>
      <c r="S311"/>
      <c r="T311"/>
      <c r="U311"/>
      <c r="V311"/>
      <c r="W311"/>
      <c r="X311"/>
      <c r="Y311"/>
      <c r="Z311"/>
    </row>
    <row r="312" spans="1:26">
      <c r="A312"/>
      <c r="B312"/>
      <c r="C312" s="134" t="s">
        <v>2418</v>
      </c>
      <c r="D312" s="106" t="s">
        <v>140</v>
      </c>
      <c r="F312"/>
      <c r="G312"/>
      <c r="H312"/>
      <c r="I312"/>
      <c r="J312"/>
      <c r="K312"/>
      <c r="L312"/>
      <c r="M312"/>
      <c r="N312"/>
      <c r="O312"/>
      <c r="P312"/>
      <c r="Q312"/>
      <c r="R312"/>
      <c r="S312"/>
      <c r="T312"/>
      <c r="U312"/>
      <c r="V312"/>
      <c r="W312"/>
      <c r="X312"/>
      <c r="Y312"/>
      <c r="Z312"/>
    </row>
    <row r="313" spans="1:26">
      <c r="A313"/>
      <c r="B313"/>
      <c r="C313" s="134" t="s">
        <v>2427</v>
      </c>
      <c r="D313" s="106" t="s">
        <v>140</v>
      </c>
      <c r="F313"/>
      <c r="G313"/>
      <c r="H313"/>
      <c r="I313"/>
      <c r="J313"/>
      <c r="K313"/>
      <c r="L313"/>
      <c r="M313"/>
      <c r="N313"/>
      <c r="O313"/>
      <c r="P313"/>
      <c r="Q313"/>
      <c r="R313"/>
      <c r="S313"/>
      <c r="T313"/>
      <c r="U313"/>
      <c r="V313"/>
      <c r="W313"/>
      <c r="X313"/>
      <c r="Y313"/>
      <c r="Z313"/>
    </row>
    <row r="314" spans="1:26">
      <c r="A314"/>
      <c r="B314"/>
      <c r="C314" s="134" t="s">
        <v>2428</v>
      </c>
      <c r="D314" s="106" t="s">
        <v>140</v>
      </c>
      <c r="F314"/>
      <c r="G314"/>
      <c r="H314"/>
      <c r="I314"/>
      <c r="J314"/>
      <c r="K314"/>
      <c r="L314"/>
      <c r="M314"/>
      <c r="N314"/>
      <c r="O314"/>
      <c r="P314"/>
      <c r="Q314"/>
      <c r="R314"/>
      <c r="S314"/>
      <c r="T314"/>
      <c r="U314"/>
      <c r="V314"/>
      <c r="W314"/>
      <c r="X314"/>
      <c r="Y314"/>
      <c r="Z314"/>
    </row>
    <row r="315" spans="1:26">
      <c r="A315"/>
      <c r="B315"/>
      <c r="C315" s="134" t="s">
        <v>2429</v>
      </c>
      <c r="D315" s="106" t="s">
        <v>140</v>
      </c>
      <c r="F315"/>
      <c r="G315"/>
      <c r="H315"/>
      <c r="I315"/>
      <c r="J315"/>
      <c r="K315"/>
      <c r="L315"/>
      <c r="M315"/>
      <c r="N315"/>
      <c r="O315"/>
      <c r="P315"/>
      <c r="Q315"/>
      <c r="R315"/>
      <c r="S315"/>
      <c r="T315"/>
      <c r="U315"/>
      <c r="V315"/>
      <c r="W315"/>
      <c r="X315"/>
      <c r="Y315"/>
      <c r="Z315"/>
    </row>
    <row r="316" spans="1:26">
      <c r="A316"/>
      <c r="B316"/>
      <c r="C316" s="134" t="s">
        <v>2420</v>
      </c>
      <c r="D316" s="106" t="s">
        <v>140</v>
      </c>
      <c r="F316"/>
      <c r="G316"/>
      <c r="H316"/>
      <c r="I316"/>
      <c r="J316"/>
      <c r="K316"/>
      <c r="L316"/>
      <c r="M316"/>
      <c r="N316"/>
      <c r="O316"/>
      <c r="P316"/>
      <c r="Q316"/>
      <c r="R316"/>
      <c r="S316"/>
      <c r="T316"/>
      <c r="U316"/>
      <c r="V316"/>
      <c r="W316"/>
      <c r="X316"/>
      <c r="Y316"/>
      <c r="Z316"/>
    </row>
    <row r="317" spans="1:26">
      <c r="A317"/>
      <c r="B317"/>
      <c r="C317" s="134" t="s">
        <v>2432</v>
      </c>
      <c r="D317" s="106" t="s">
        <v>140</v>
      </c>
      <c r="F317"/>
      <c r="G317"/>
      <c r="H317"/>
      <c r="I317"/>
      <c r="J317"/>
      <c r="K317"/>
      <c r="L317"/>
      <c r="M317"/>
      <c r="N317"/>
      <c r="O317"/>
      <c r="P317"/>
      <c r="Q317"/>
      <c r="R317"/>
      <c r="S317"/>
      <c r="T317"/>
      <c r="U317"/>
      <c r="V317"/>
      <c r="W317"/>
      <c r="X317"/>
      <c r="Y317"/>
      <c r="Z317"/>
    </row>
    <row r="318" spans="1:26">
      <c r="A318"/>
      <c r="B318"/>
      <c r="C318" s="134" t="s">
        <v>2436</v>
      </c>
      <c r="D318" s="106" t="s">
        <v>140</v>
      </c>
      <c r="F318"/>
      <c r="G318"/>
      <c r="H318"/>
      <c r="I318"/>
      <c r="J318"/>
      <c r="K318"/>
      <c r="L318"/>
      <c r="M318"/>
      <c r="N318"/>
      <c r="O318"/>
      <c r="P318"/>
      <c r="Q318"/>
      <c r="R318"/>
      <c r="S318"/>
      <c r="T318"/>
      <c r="U318"/>
      <c r="V318"/>
      <c r="W318"/>
      <c r="X318"/>
      <c r="Y318"/>
      <c r="Z318"/>
    </row>
    <row r="319" spans="1:26">
      <c r="A319"/>
      <c r="B319"/>
      <c r="C319" s="134" t="s">
        <v>2437</v>
      </c>
      <c r="D319" s="106" t="s">
        <v>140</v>
      </c>
      <c r="F319"/>
      <c r="G319"/>
      <c r="H319"/>
      <c r="I319"/>
      <c r="J319"/>
      <c r="K319"/>
      <c r="L319"/>
      <c r="M319"/>
      <c r="N319"/>
      <c r="O319"/>
      <c r="P319"/>
      <c r="Q319"/>
      <c r="R319"/>
      <c r="S319"/>
      <c r="T319"/>
      <c r="U319"/>
      <c r="V319"/>
      <c r="W319"/>
      <c r="X319"/>
      <c r="Y319"/>
      <c r="Z319"/>
    </row>
    <row r="320" spans="1:26" ht="65.25" customHeight="1">
      <c r="B320" s="50" t="s">
        <v>2474</v>
      </c>
      <c r="C320" s="134" t="s">
        <v>2579</v>
      </c>
      <c r="D320" s="106" t="s">
        <v>140</v>
      </c>
      <c r="E320" s="106">
        <v>88</v>
      </c>
    </row>
    <row r="321" spans="1:26">
      <c r="C321" s="134" t="s">
        <v>2426</v>
      </c>
      <c r="D321" s="106" t="s">
        <v>140</v>
      </c>
    </row>
    <row r="322" spans="1:26">
      <c r="A322"/>
      <c r="B322"/>
      <c r="C322" s="134" t="s">
        <v>2419</v>
      </c>
      <c r="D322" s="106" t="s">
        <v>140</v>
      </c>
      <c r="F322"/>
      <c r="G322"/>
      <c r="H322"/>
      <c r="I322"/>
      <c r="J322"/>
      <c r="K322"/>
      <c r="L322"/>
      <c r="M322"/>
      <c r="N322"/>
      <c r="O322"/>
      <c r="P322"/>
      <c r="Q322"/>
      <c r="R322"/>
      <c r="S322"/>
      <c r="T322"/>
      <c r="U322"/>
      <c r="V322"/>
      <c r="W322"/>
      <c r="X322"/>
      <c r="Y322"/>
      <c r="Z322"/>
    </row>
    <row r="323" spans="1:26">
      <c r="A323"/>
      <c r="B323"/>
      <c r="C323" s="134" t="s">
        <v>2421</v>
      </c>
      <c r="D323" s="106" t="s">
        <v>140</v>
      </c>
      <c r="F323"/>
      <c r="G323"/>
      <c r="H323"/>
      <c r="I323"/>
      <c r="J323"/>
      <c r="K323"/>
      <c r="L323"/>
      <c r="M323"/>
      <c r="N323"/>
      <c r="O323"/>
      <c r="P323"/>
      <c r="Q323"/>
      <c r="R323"/>
      <c r="S323"/>
      <c r="T323"/>
      <c r="U323"/>
      <c r="V323"/>
      <c r="W323"/>
      <c r="X323"/>
      <c r="Y323"/>
      <c r="Z323"/>
    </row>
    <row r="324" spans="1:26">
      <c r="A324"/>
      <c r="B324"/>
      <c r="C324" s="134" t="s">
        <v>2422</v>
      </c>
      <c r="D324" s="106" t="s">
        <v>140</v>
      </c>
      <c r="F324"/>
      <c r="G324"/>
      <c r="H324"/>
      <c r="I324"/>
      <c r="J324"/>
      <c r="K324"/>
      <c r="L324"/>
      <c r="M324"/>
      <c r="N324"/>
      <c r="O324"/>
      <c r="P324"/>
      <c r="Q324"/>
      <c r="R324"/>
      <c r="S324"/>
      <c r="T324"/>
      <c r="U324"/>
      <c r="V324"/>
      <c r="W324"/>
      <c r="X324"/>
      <c r="Y324"/>
      <c r="Z324"/>
    </row>
    <row r="325" spans="1:26">
      <c r="A325"/>
      <c r="B325"/>
      <c r="C325" s="134" t="s">
        <v>2423</v>
      </c>
      <c r="D325" s="106" t="s">
        <v>140</v>
      </c>
      <c r="F325"/>
      <c r="G325"/>
      <c r="H325"/>
      <c r="I325"/>
      <c r="J325"/>
      <c r="K325"/>
      <c r="L325"/>
      <c r="M325"/>
      <c r="N325"/>
      <c r="O325"/>
      <c r="P325"/>
      <c r="Q325"/>
      <c r="R325"/>
      <c r="S325"/>
      <c r="T325"/>
      <c r="U325"/>
      <c r="V325"/>
      <c r="W325"/>
      <c r="X325"/>
      <c r="Y325"/>
      <c r="Z325"/>
    </row>
    <row r="326" spans="1:26">
      <c r="A326"/>
      <c r="B326"/>
      <c r="C326" s="134" t="s">
        <v>2430</v>
      </c>
      <c r="D326" s="106" t="s">
        <v>140</v>
      </c>
      <c r="F326"/>
      <c r="G326"/>
      <c r="H326"/>
      <c r="I326"/>
      <c r="J326"/>
      <c r="K326"/>
      <c r="L326"/>
      <c r="M326"/>
      <c r="N326"/>
      <c r="O326"/>
      <c r="P326"/>
      <c r="Q326"/>
      <c r="R326"/>
      <c r="S326"/>
      <c r="T326"/>
      <c r="U326"/>
      <c r="V326"/>
      <c r="W326"/>
      <c r="X326"/>
      <c r="Y326"/>
      <c r="Z326"/>
    </row>
    <row r="327" spans="1:26">
      <c r="A327"/>
      <c r="B327"/>
      <c r="C327" s="134" t="s">
        <v>2433</v>
      </c>
      <c r="D327" s="106" t="s">
        <v>140</v>
      </c>
      <c r="F327"/>
      <c r="G327"/>
      <c r="H327"/>
      <c r="I327"/>
      <c r="J327"/>
      <c r="K327"/>
      <c r="L327"/>
      <c r="M327"/>
      <c r="N327"/>
      <c r="O327"/>
      <c r="P327"/>
      <c r="Q327"/>
      <c r="R327"/>
      <c r="S327"/>
      <c r="T327"/>
      <c r="U327"/>
      <c r="V327"/>
      <c r="W327"/>
      <c r="X327"/>
      <c r="Y327"/>
      <c r="Z327"/>
    </row>
    <row r="328" spans="1:26">
      <c r="A328"/>
      <c r="B328"/>
      <c r="C328" s="134" t="s">
        <v>2434</v>
      </c>
      <c r="D328" s="106" t="s">
        <v>140</v>
      </c>
      <c r="F328"/>
      <c r="G328"/>
      <c r="H328"/>
      <c r="I328"/>
      <c r="J328"/>
      <c r="K328"/>
      <c r="L328"/>
      <c r="M328"/>
      <c r="N328"/>
      <c r="O328"/>
      <c r="P328"/>
      <c r="Q328"/>
      <c r="R328"/>
      <c r="S328"/>
      <c r="T328"/>
      <c r="U328"/>
      <c r="V328"/>
      <c r="W328"/>
      <c r="X328"/>
      <c r="Y328"/>
      <c r="Z328"/>
    </row>
    <row r="329" spans="1:26" ht="59.25" customHeight="1">
      <c r="B329" s="50" t="s">
        <v>2475</v>
      </c>
      <c r="C329" s="134" t="s">
        <v>2580</v>
      </c>
      <c r="D329" s="106" t="s">
        <v>140</v>
      </c>
      <c r="E329" s="106">
        <v>264</v>
      </c>
    </row>
    <row r="330" spans="1:26">
      <c r="C330" s="134" t="s">
        <v>2425</v>
      </c>
      <c r="D330" s="106" t="s">
        <v>140</v>
      </c>
    </row>
    <row r="331" spans="1:26">
      <c r="C331" s="134" t="s">
        <v>2415</v>
      </c>
      <c r="D331" s="106" t="s">
        <v>140</v>
      </c>
    </row>
    <row r="332" spans="1:26">
      <c r="A332"/>
      <c r="B332"/>
      <c r="C332" s="134" t="s">
        <v>2416</v>
      </c>
      <c r="D332" s="106" t="s">
        <v>140</v>
      </c>
      <c r="F332"/>
      <c r="G332"/>
      <c r="H332"/>
      <c r="I332"/>
      <c r="J332"/>
      <c r="K332"/>
      <c r="L332"/>
      <c r="M332"/>
      <c r="N332"/>
      <c r="O332"/>
      <c r="P332"/>
      <c r="Q332"/>
      <c r="R332"/>
      <c r="S332"/>
      <c r="T332"/>
      <c r="U332"/>
      <c r="V332"/>
      <c r="W332"/>
      <c r="X332"/>
      <c r="Y332"/>
      <c r="Z332"/>
    </row>
    <row r="333" spans="1:26">
      <c r="A333"/>
      <c r="B333"/>
      <c r="C333" s="134" t="s">
        <v>2417</v>
      </c>
      <c r="D333" s="106" t="s">
        <v>140</v>
      </c>
      <c r="F333"/>
      <c r="G333"/>
      <c r="H333"/>
      <c r="I333"/>
      <c r="J333"/>
      <c r="K333"/>
      <c r="L333"/>
      <c r="M333"/>
      <c r="N333"/>
      <c r="O333"/>
      <c r="P333"/>
      <c r="Q333"/>
      <c r="R333"/>
      <c r="S333"/>
      <c r="T333"/>
      <c r="U333"/>
      <c r="V333"/>
      <c r="W333"/>
      <c r="X333"/>
      <c r="Y333"/>
      <c r="Z333"/>
    </row>
    <row r="334" spans="1:26">
      <c r="A334"/>
      <c r="B334"/>
      <c r="C334" s="134" t="s">
        <v>2418</v>
      </c>
      <c r="D334" s="106" t="s">
        <v>140</v>
      </c>
      <c r="F334"/>
      <c r="G334"/>
      <c r="H334"/>
      <c r="I334"/>
      <c r="J334"/>
      <c r="K334"/>
      <c r="L334"/>
      <c r="M334"/>
      <c r="N334"/>
      <c r="O334"/>
      <c r="P334"/>
      <c r="Q334"/>
      <c r="R334"/>
      <c r="S334"/>
      <c r="T334"/>
      <c r="U334"/>
      <c r="V334"/>
      <c r="W334"/>
      <c r="X334"/>
      <c r="Y334"/>
      <c r="Z334"/>
    </row>
    <row r="335" spans="1:26">
      <c r="A335"/>
      <c r="B335"/>
      <c r="C335" s="134" t="s">
        <v>2427</v>
      </c>
      <c r="D335" s="106" t="s">
        <v>140</v>
      </c>
      <c r="F335"/>
      <c r="G335"/>
      <c r="H335"/>
      <c r="I335"/>
      <c r="J335"/>
      <c r="K335"/>
      <c r="L335"/>
      <c r="M335"/>
      <c r="N335"/>
      <c r="O335"/>
      <c r="P335"/>
      <c r="Q335"/>
      <c r="R335"/>
      <c r="S335"/>
      <c r="T335"/>
      <c r="U335"/>
      <c r="V335"/>
      <c r="W335"/>
      <c r="X335"/>
      <c r="Y335"/>
      <c r="Z335"/>
    </row>
    <row r="336" spans="1:26">
      <c r="A336"/>
      <c r="B336"/>
      <c r="C336" s="134" t="s">
        <v>2428</v>
      </c>
      <c r="D336" s="106" t="s">
        <v>140</v>
      </c>
      <c r="F336"/>
      <c r="G336"/>
      <c r="H336"/>
      <c r="I336"/>
      <c r="J336"/>
      <c r="K336"/>
      <c r="L336"/>
      <c r="M336"/>
      <c r="N336"/>
      <c r="O336"/>
      <c r="P336"/>
      <c r="Q336"/>
      <c r="R336"/>
      <c r="S336"/>
      <c r="T336"/>
      <c r="U336"/>
      <c r="V336"/>
      <c r="W336"/>
      <c r="X336"/>
      <c r="Y336"/>
      <c r="Z336"/>
    </row>
    <row r="337" spans="1:26">
      <c r="A337"/>
      <c r="B337"/>
      <c r="C337" s="134" t="s">
        <v>2429</v>
      </c>
      <c r="D337" s="106" t="s">
        <v>140</v>
      </c>
      <c r="F337"/>
      <c r="G337"/>
      <c r="H337"/>
      <c r="I337"/>
      <c r="J337"/>
      <c r="K337"/>
      <c r="L337"/>
      <c r="M337"/>
      <c r="N337"/>
      <c r="O337"/>
      <c r="P337"/>
      <c r="Q337"/>
      <c r="R337"/>
      <c r="S337"/>
      <c r="T337"/>
      <c r="U337"/>
      <c r="V337"/>
      <c r="W337"/>
      <c r="X337"/>
      <c r="Y337"/>
      <c r="Z337"/>
    </row>
    <row r="338" spans="1:26">
      <c r="A338"/>
      <c r="B338"/>
      <c r="C338" s="134" t="s">
        <v>2419</v>
      </c>
      <c r="D338" s="106" t="s">
        <v>140</v>
      </c>
      <c r="F338"/>
      <c r="G338"/>
      <c r="H338"/>
      <c r="I338"/>
      <c r="J338"/>
      <c r="K338"/>
      <c r="L338"/>
      <c r="M338"/>
      <c r="N338"/>
      <c r="O338"/>
      <c r="P338"/>
      <c r="Q338"/>
      <c r="R338"/>
      <c r="S338"/>
      <c r="T338"/>
      <c r="U338"/>
      <c r="V338"/>
      <c r="W338"/>
      <c r="X338"/>
      <c r="Y338"/>
      <c r="Z338"/>
    </row>
    <row r="339" spans="1:26">
      <c r="A339"/>
      <c r="B339"/>
      <c r="C339" s="134" t="s">
        <v>2420</v>
      </c>
      <c r="D339" s="106" t="s">
        <v>140</v>
      </c>
      <c r="F339"/>
      <c r="G339"/>
      <c r="H339"/>
      <c r="I339"/>
      <c r="J339"/>
      <c r="K339"/>
      <c r="L339"/>
      <c r="M339"/>
      <c r="N339"/>
      <c r="O339"/>
      <c r="P339"/>
      <c r="Q339"/>
      <c r="R339"/>
      <c r="S339"/>
      <c r="T339"/>
      <c r="U339"/>
      <c r="V339"/>
      <c r="W339"/>
      <c r="X339"/>
      <c r="Y339"/>
      <c r="Z339"/>
    </row>
    <row r="340" spans="1:26">
      <c r="A340"/>
      <c r="B340"/>
      <c r="C340" s="134" t="s">
        <v>2421</v>
      </c>
      <c r="D340" s="106" t="s">
        <v>140</v>
      </c>
      <c r="F340"/>
      <c r="G340"/>
      <c r="H340"/>
      <c r="I340"/>
      <c r="J340"/>
      <c r="K340"/>
      <c r="L340"/>
      <c r="M340"/>
      <c r="N340"/>
      <c r="O340"/>
      <c r="P340"/>
      <c r="Q340"/>
      <c r="R340"/>
      <c r="S340"/>
      <c r="T340"/>
      <c r="U340"/>
      <c r="V340"/>
      <c r="W340"/>
      <c r="X340"/>
      <c r="Y340"/>
      <c r="Z340"/>
    </row>
    <row r="341" spans="1:26">
      <c r="A341"/>
      <c r="B341"/>
      <c r="C341" s="134" t="s">
        <v>2422</v>
      </c>
      <c r="D341" s="106" t="s">
        <v>140</v>
      </c>
      <c r="F341"/>
      <c r="G341"/>
      <c r="H341"/>
      <c r="I341"/>
      <c r="J341"/>
      <c r="K341"/>
      <c r="L341"/>
      <c r="M341"/>
      <c r="N341"/>
      <c r="O341"/>
      <c r="P341"/>
      <c r="Q341"/>
      <c r="R341"/>
      <c r="S341"/>
      <c r="T341"/>
      <c r="U341"/>
      <c r="V341"/>
      <c r="W341"/>
      <c r="X341"/>
      <c r="Y341"/>
      <c r="Z341"/>
    </row>
    <row r="342" spans="1:26">
      <c r="A342"/>
      <c r="B342"/>
      <c r="C342" s="134" t="s">
        <v>2423</v>
      </c>
      <c r="D342" s="106" t="s">
        <v>140</v>
      </c>
      <c r="F342"/>
      <c r="G342"/>
      <c r="H342"/>
      <c r="I342"/>
      <c r="J342"/>
      <c r="K342"/>
      <c r="L342"/>
      <c r="M342"/>
      <c r="N342"/>
      <c r="O342"/>
      <c r="P342"/>
      <c r="Q342"/>
      <c r="R342"/>
      <c r="S342"/>
      <c r="T342"/>
      <c r="U342"/>
      <c r="V342"/>
      <c r="W342"/>
      <c r="X342"/>
      <c r="Y342"/>
      <c r="Z342"/>
    </row>
    <row r="343" spans="1:26">
      <c r="A343"/>
      <c r="B343"/>
      <c r="C343" s="134" t="s">
        <v>2430</v>
      </c>
      <c r="D343" s="106" t="s">
        <v>140</v>
      </c>
      <c r="F343"/>
      <c r="G343"/>
      <c r="H343"/>
      <c r="I343"/>
      <c r="J343"/>
      <c r="K343"/>
      <c r="L343"/>
      <c r="M343"/>
      <c r="N343"/>
      <c r="O343"/>
      <c r="P343"/>
      <c r="Q343"/>
      <c r="R343"/>
      <c r="S343"/>
      <c r="T343"/>
      <c r="U343"/>
      <c r="V343"/>
      <c r="W343"/>
      <c r="X343"/>
      <c r="Y343"/>
      <c r="Z343"/>
    </row>
    <row r="344" spans="1:26">
      <c r="A344"/>
      <c r="B344"/>
      <c r="C344" s="134" t="s">
        <v>2432</v>
      </c>
      <c r="D344" s="106" t="s">
        <v>140</v>
      </c>
      <c r="F344"/>
      <c r="G344"/>
      <c r="H344"/>
      <c r="I344"/>
      <c r="J344"/>
      <c r="K344"/>
      <c r="L344"/>
      <c r="M344"/>
      <c r="N344"/>
      <c r="O344"/>
      <c r="P344"/>
      <c r="Q344"/>
      <c r="R344"/>
      <c r="S344"/>
      <c r="T344"/>
      <c r="U344"/>
      <c r="V344"/>
      <c r="W344"/>
      <c r="X344"/>
      <c r="Y344"/>
      <c r="Z344"/>
    </row>
    <row r="345" spans="1:26">
      <c r="A345"/>
      <c r="B345"/>
      <c r="C345" s="134" t="s">
        <v>2433</v>
      </c>
      <c r="D345" s="106" t="s">
        <v>140</v>
      </c>
      <c r="F345"/>
      <c r="G345"/>
      <c r="H345"/>
      <c r="I345"/>
      <c r="J345"/>
      <c r="K345"/>
      <c r="L345"/>
      <c r="M345"/>
      <c r="N345"/>
      <c r="O345"/>
      <c r="P345"/>
      <c r="Q345"/>
      <c r="R345"/>
      <c r="S345"/>
      <c r="T345"/>
      <c r="U345"/>
      <c r="V345"/>
      <c r="W345"/>
      <c r="X345"/>
      <c r="Y345"/>
      <c r="Z345"/>
    </row>
    <row r="346" spans="1:26">
      <c r="A346"/>
      <c r="B346"/>
      <c r="C346" s="134" t="s">
        <v>2434</v>
      </c>
      <c r="D346" s="106" t="s">
        <v>140</v>
      </c>
      <c r="F346"/>
      <c r="G346"/>
      <c r="H346"/>
      <c r="I346"/>
      <c r="J346"/>
      <c r="K346"/>
      <c r="L346"/>
      <c r="M346"/>
      <c r="N346"/>
      <c r="O346"/>
      <c r="P346"/>
      <c r="Q346"/>
      <c r="R346"/>
      <c r="S346"/>
      <c r="T346"/>
      <c r="U346"/>
      <c r="V346"/>
      <c r="W346"/>
      <c r="X346"/>
      <c r="Y346"/>
      <c r="Z346"/>
    </row>
    <row r="347" spans="1:26">
      <c r="A347"/>
      <c r="B347"/>
      <c r="C347" s="134" t="s">
        <v>2436</v>
      </c>
      <c r="D347" s="106" t="s">
        <v>140</v>
      </c>
      <c r="F347"/>
      <c r="G347"/>
      <c r="H347"/>
      <c r="I347"/>
      <c r="J347"/>
      <c r="K347"/>
      <c r="L347"/>
      <c r="M347"/>
      <c r="N347"/>
      <c r="O347"/>
      <c r="P347"/>
      <c r="Q347"/>
      <c r="R347"/>
      <c r="S347"/>
      <c r="T347"/>
      <c r="U347"/>
      <c r="V347"/>
      <c r="W347"/>
      <c r="X347"/>
      <c r="Y347"/>
      <c r="Z347"/>
    </row>
    <row r="348" spans="1:26">
      <c r="A348"/>
      <c r="B348"/>
      <c r="C348" s="134" t="s">
        <v>2437</v>
      </c>
      <c r="D348" s="106" t="s">
        <v>140</v>
      </c>
      <c r="F348"/>
      <c r="G348"/>
      <c r="H348"/>
      <c r="I348"/>
      <c r="J348"/>
      <c r="K348"/>
      <c r="L348"/>
      <c r="M348"/>
      <c r="N348"/>
      <c r="O348"/>
      <c r="P348"/>
      <c r="Q348"/>
      <c r="R348"/>
      <c r="S348"/>
      <c r="T348"/>
      <c r="U348"/>
      <c r="V348"/>
      <c r="W348"/>
      <c r="X348"/>
      <c r="Y348"/>
      <c r="Z348"/>
    </row>
    <row r="349" spans="1:26" ht="63.75">
      <c r="B349" s="50" t="s">
        <v>2476</v>
      </c>
      <c r="C349" s="134" t="s">
        <v>2581</v>
      </c>
      <c r="D349" s="106" t="s">
        <v>140</v>
      </c>
      <c r="E349" s="106">
        <v>20</v>
      </c>
    </row>
    <row r="350" spans="1:26">
      <c r="C350" s="134" t="s">
        <v>2426</v>
      </c>
      <c r="D350" s="106" t="s">
        <v>140</v>
      </c>
    </row>
    <row r="351" spans="1:26" ht="74.25" customHeight="1">
      <c r="B351" s="50" t="s">
        <v>2477</v>
      </c>
      <c r="C351" s="134" t="s">
        <v>2582</v>
      </c>
      <c r="D351" s="106" t="s">
        <v>140</v>
      </c>
      <c r="E351" s="106">
        <v>91</v>
      </c>
    </row>
    <row r="352" spans="1:26">
      <c r="C352" s="134" t="s">
        <v>2425</v>
      </c>
      <c r="D352" s="106" t="s">
        <v>140</v>
      </c>
    </row>
    <row r="353" spans="1:26">
      <c r="A353"/>
      <c r="B353"/>
      <c r="C353" s="134" t="s">
        <v>2417</v>
      </c>
      <c r="D353" s="106" t="s">
        <v>140</v>
      </c>
      <c r="F353"/>
      <c r="G353"/>
      <c r="H353"/>
      <c r="I353"/>
      <c r="J353"/>
      <c r="K353"/>
      <c r="L353"/>
      <c r="M353"/>
      <c r="N353"/>
      <c r="O353"/>
      <c r="P353"/>
      <c r="Q353"/>
      <c r="R353"/>
      <c r="S353"/>
      <c r="T353"/>
      <c r="U353"/>
      <c r="V353"/>
      <c r="W353"/>
      <c r="X353"/>
      <c r="Y353"/>
      <c r="Z353"/>
    </row>
    <row r="354" spans="1:26">
      <c r="A354"/>
      <c r="B354"/>
      <c r="C354" s="134" t="s">
        <v>2418</v>
      </c>
      <c r="D354" s="106" t="s">
        <v>140</v>
      </c>
      <c r="F354"/>
      <c r="G354"/>
      <c r="H354"/>
      <c r="I354"/>
      <c r="J354"/>
      <c r="K354"/>
      <c r="L354"/>
      <c r="M354"/>
      <c r="N354"/>
      <c r="O354"/>
      <c r="P354"/>
      <c r="Q354"/>
      <c r="R354"/>
      <c r="S354"/>
      <c r="T354"/>
      <c r="U354"/>
      <c r="V354"/>
      <c r="W354"/>
      <c r="X354"/>
      <c r="Y354"/>
      <c r="Z354"/>
    </row>
    <row r="355" spans="1:26">
      <c r="A355"/>
      <c r="B355"/>
      <c r="C355" s="134" t="s">
        <v>2427</v>
      </c>
      <c r="D355" s="106" t="s">
        <v>140</v>
      </c>
      <c r="F355"/>
      <c r="G355"/>
      <c r="H355"/>
      <c r="I355"/>
      <c r="J355"/>
      <c r="K355"/>
      <c r="L355"/>
      <c r="M355"/>
      <c r="N355"/>
      <c r="O355"/>
      <c r="P355"/>
      <c r="Q355"/>
      <c r="R355"/>
      <c r="S355"/>
      <c r="T355"/>
      <c r="U355"/>
      <c r="V355"/>
      <c r="W355"/>
      <c r="X355"/>
      <c r="Y355"/>
      <c r="Z355"/>
    </row>
    <row r="356" spans="1:26">
      <c r="A356"/>
      <c r="B356"/>
      <c r="C356" s="134" t="s">
        <v>2428</v>
      </c>
      <c r="D356" s="106" t="s">
        <v>140</v>
      </c>
      <c r="F356"/>
      <c r="G356"/>
      <c r="H356"/>
      <c r="I356"/>
      <c r="J356"/>
      <c r="K356"/>
      <c r="L356"/>
      <c r="M356"/>
      <c r="N356"/>
      <c r="O356"/>
      <c r="P356"/>
      <c r="Q356"/>
      <c r="R356"/>
      <c r="S356"/>
      <c r="T356"/>
      <c r="U356"/>
      <c r="V356"/>
      <c r="W356"/>
      <c r="X356"/>
      <c r="Y356"/>
      <c r="Z356"/>
    </row>
    <row r="357" spans="1:26">
      <c r="A357"/>
      <c r="B357"/>
      <c r="C357" s="134" t="s">
        <v>2429</v>
      </c>
      <c r="D357" s="106" t="s">
        <v>140</v>
      </c>
      <c r="F357"/>
      <c r="G357"/>
      <c r="H357"/>
      <c r="I357"/>
      <c r="J357"/>
      <c r="K357"/>
      <c r="L357"/>
      <c r="M357"/>
      <c r="N357"/>
      <c r="O357"/>
      <c r="P357"/>
      <c r="Q357"/>
      <c r="R357"/>
      <c r="S357"/>
      <c r="T357"/>
      <c r="U357"/>
      <c r="V357"/>
      <c r="W357"/>
      <c r="X357"/>
      <c r="Y357"/>
      <c r="Z357"/>
    </row>
    <row r="358" spans="1:26">
      <c r="A358"/>
      <c r="B358"/>
      <c r="C358" s="134" t="s">
        <v>2421</v>
      </c>
      <c r="D358" s="106" t="s">
        <v>140</v>
      </c>
      <c r="F358"/>
      <c r="G358"/>
      <c r="H358"/>
      <c r="I358"/>
      <c r="J358"/>
      <c r="K358"/>
      <c r="L358"/>
      <c r="M358"/>
      <c r="N358"/>
      <c r="O358"/>
      <c r="P358"/>
      <c r="Q358"/>
      <c r="R358"/>
      <c r="S358"/>
      <c r="T358"/>
      <c r="U358"/>
      <c r="V358"/>
      <c r="W358"/>
      <c r="X358"/>
      <c r="Y358"/>
      <c r="Z358"/>
    </row>
    <row r="359" spans="1:26">
      <c r="A359"/>
      <c r="B359"/>
      <c r="C359" s="134" t="s">
        <v>2423</v>
      </c>
      <c r="D359" s="106" t="s">
        <v>140</v>
      </c>
      <c r="F359"/>
      <c r="G359"/>
      <c r="H359"/>
      <c r="I359"/>
      <c r="J359"/>
      <c r="K359"/>
      <c r="L359"/>
      <c r="M359"/>
      <c r="N359"/>
      <c r="O359"/>
      <c r="P359"/>
      <c r="Q359"/>
      <c r="R359"/>
      <c r="S359"/>
      <c r="T359"/>
      <c r="U359"/>
      <c r="V359"/>
      <c r="W359"/>
      <c r="X359"/>
      <c r="Y359"/>
      <c r="Z359"/>
    </row>
    <row r="360" spans="1:26">
      <c r="A360"/>
      <c r="B360"/>
      <c r="C360" s="134" t="s">
        <v>2436</v>
      </c>
      <c r="D360" s="106" t="s">
        <v>140</v>
      </c>
      <c r="F360"/>
      <c r="G360"/>
      <c r="H360"/>
      <c r="I360"/>
      <c r="J360"/>
      <c r="K360"/>
      <c r="L360"/>
      <c r="M360"/>
      <c r="N360"/>
      <c r="O360"/>
      <c r="P360"/>
      <c r="Q360"/>
      <c r="R360"/>
      <c r="S360"/>
      <c r="T360"/>
      <c r="U360"/>
      <c r="V360"/>
      <c r="W360"/>
      <c r="X360"/>
      <c r="Y360"/>
      <c r="Z360"/>
    </row>
    <row r="361" spans="1:26" ht="73.5" customHeight="1">
      <c r="B361" s="50" t="s">
        <v>2478</v>
      </c>
      <c r="C361" s="134" t="s">
        <v>2583</v>
      </c>
      <c r="D361" s="106" t="s">
        <v>140</v>
      </c>
      <c r="E361" s="106">
        <v>168</v>
      </c>
    </row>
    <row r="362" spans="1:26">
      <c r="C362" s="134" t="s">
        <v>2415</v>
      </c>
      <c r="D362" s="106" t="s">
        <v>140</v>
      </c>
    </row>
    <row r="363" spans="1:26">
      <c r="A363"/>
      <c r="B363"/>
      <c r="C363" s="134" t="s">
        <v>2416</v>
      </c>
      <c r="D363" s="106" t="s">
        <v>140</v>
      </c>
      <c r="F363"/>
      <c r="G363"/>
      <c r="H363"/>
      <c r="I363"/>
      <c r="J363"/>
      <c r="K363"/>
      <c r="L363"/>
      <c r="M363"/>
      <c r="N363"/>
      <c r="O363"/>
      <c r="P363"/>
      <c r="Q363"/>
      <c r="R363"/>
      <c r="S363"/>
      <c r="T363"/>
      <c r="U363"/>
      <c r="V363"/>
      <c r="W363"/>
      <c r="X363"/>
      <c r="Y363"/>
      <c r="Z363"/>
    </row>
    <row r="364" spans="1:26">
      <c r="A364"/>
      <c r="B364"/>
      <c r="C364" s="134" t="s">
        <v>2419</v>
      </c>
      <c r="D364" s="106" t="s">
        <v>140</v>
      </c>
      <c r="F364"/>
      <c r="G364"/>
      <c r="H364"/>
      <c r="I364"/>
      <c r="J364"/>
      <c r="K364"/>
      <c r="L364"/>
      <c r="M364"/>
      <c r="N364"/>
      <c r="O364"/>
      <c r="P364"/>
      <c r="Q364"/>
      <c r="R364"/>
      <c r="S364"/>
      <c r="T364"/>
      <c r="U364"/>
      <c r="V364"/>
      <c r="W364"/>
      <c r="X364"/>
      <c r="Y364"/>
      <c r="Z364"/>
    </row>
    <row r="365" spans="1:26">
      <c r="A365"/>
      <c r="B365"/>
      <c r="C365" s="134" t="s">
        <v>2420</v>
      </c>
      <c r="D365" s="106" t="s">
        <v>140</v>
      </c>
      <c r="F365"/>
      <c r="G365"/>
      <c r="H365"/>
      <c r="I365"/>
      <c r="J365"/>
      <c r="K365"/>
      <c r="L365"/>
      <c r="M365"/>
      <c r="N365"/>
      <c r="O365"/>
      <c r="P365"/>
      <c r="Q365"/>
      <c r="R365"/>
      <c r="S365"/>
      <c r="T365"/>
      <c r="U365"/>
      <c r="V365"/>
      <c r="W365"/>
      <c r="X365"/>
      <c r="Y365"/>
      <c r="Z365"/>
    </row>
    <row r="366" spans="1:26">
      <c r="A366"/>
      <c r="B366"/>
      <c r="C366" s="134" t="s">
        <v>2422</v>
      </c>
      <c r="D366" s="106" t="s">
        <v>140</v>
      </c>
      <c r="F366"/>
      <c r="G366"/>
      <c r="H366"/>
      <c r="I366"/>
      <c r="J366"/>
      <c r="K366"/>
      <c r="L366"/>
      <c r="M366"/>
      <c r="N366"/>
      <c r="O366"/>
      <c r="P366"/>
      <c r="Q366"/>
      <c r="R366"/>
      <c r="S366"/>
      <c r="T366"/>
      <c r="U366"/>
      <c r="V366"/>
      <c r="W366"/>
      <c r="X366"/>
      <c r="Y366"/>
      <c r="Z366"/>
    </row>
    <row r="367" spans="1:26">
      <c r="A367"/>
      <c r="B367"/>
      <c r="C367" s="134" t="s">
        <v>2430</v>
      </c>
      <c r="D367" s="106" t="s">
        <v>140</v>
      </c>
      <c r="F367"/>
      <c r="G367"/>
      <c r="H367"/>
      <c r="I367"/>
      <c r="J367"/>
      <c r="K367"/>
      <c r="L367"/>
      <c r="M367"/>
      <c r="N367"/>
      <c r="O367"/>
      <c r="P367"/>
      <c r="Q367"/>
      <c r="R367"/>
      <c r="S367"/>
      <c r="T367"/>
      <c r="U367"/>
      <c r="V367"/>
      <c r="W367"/>
      <c r="X367"/>
      <c r="Y367"/>
      <c r="Z367"/>
    </row>
    <row r="368" spans="1:26">
      <c r="A368"/>
      <c r="B368"/>
      <c r="C368" s="134" t="s">
        <v>2432</v>
      </c>
      <c r="D368" s="106" t="s">
        <v>140</v>
      </c>
      <c r="F368"/>
      <c r="G368"/>
      <c r="H368"/>
      <c r="I368"/>
      <c r="J368"/>
      <c r="K368"/>
      <c r="L368"/>
      <c r="M368"/>
      <c r="N368"/>
      <c r="O368"/>
      <c r="P368"/>
      <c r="Q368"/>
      <c r="R368"/>
      <c r="S368"/>
      <c r="T368"/>
      <c r="U368"/>
      <c r="V368"/>
      <c r="W368"/>
      <c r="X368"/>
      <c r="Y368"/>
      <c r="Z368"/>
    </row>
    <row r="369" spans="1:26">
      <c r="A369"/>
      <c r="B369"/>
      <c r="C369" s="134" t="s">
        <v>2433</v>
      </c>
      <c r="D369" s="106" t="s">
        <v>140</v>
      </c>
      <c r="F369"/>
      <c r="G369"/>
      <c r="H369"/>
      <c r="I369"/>
      <c r="J369"/>
      <c r="K369"/>
      <c r="L369"/>
      <c r="M369"/>
      <c r="N369"/>
      <c r="O369"/>
      <c r="P369"/>
      <c r="Q369"/>
      <c r="R369"/>
      <c r="S369"/>
      <c r="T369"/>
      <c r="U369"/>
      <c r="V369"/>
      <c r="W369"/>
      <c r="X369"/>
      <c r="Y369"/>
      <c r="Z369"/>
    </row>
    <row r="370" spans="1:26">
      <c r="A370"/>
      <c r="B370"/>
      <c r="C370" s="134" t="s">
        <v>2437</v>
      </c>
      <c r="D370" s="106" t="s">
        <v>140</v>
      </c>
      <c r="F370"/>
      <c r="G370"/>
      <c r="H370"/>
      <c r="I370"/>
      <c r="J370"/>
      <c r="K370"/>
      <c r="L370"/>
      <c r="M370"/>
      <c r="N370"/>
      <c r="O370"/>
      <c r="P370"/>
      <c r="Q370"/>
      <c r="R370"/>
      <c r="S370"/>
      <c r="T370"/>
      <c r="U370"/>
      <c r="V370"/>
      <c r="W370"/>
      <c r="X370"/>
      <c r="Y370"/>
      <c r="Z370"/>
    </row>
    <row r="371" spans="1:26" ht="63.75">
      <c r="B371" s="50" t="s">
        <v>2479</v>
      </c>
      <c r="C371" s="134" t="s">
        <v>2584</v>
      </c>
      <c r="D371" s="106" t="s">
        <v>140</v>
      </c>
      <c r="E371" s="106">
        <v>202</v>
      </c>
    </row>
    <row r="372" spans="1:26">
      <c r="C372" s="134" t="s">
        <v>2425</v>
      </c>
      <c r="D372" s="106" t="s">
        <v>140</v>
      </c>
    </row>
    <row r="373" spans="1:26">
      <c r="C373" s="134" t="s">
        <v>2415</v>
      </c>
      <c r="D373" s="106" t="s">
        <v>140</v>
      </c>
    </row>
    <row r="374" spans="1:26">
      <c r="C374" s="134" t="s">
        <v>2426</v>
      </c>
      <c r="D374" s="106" t="s">
        <v>140</v>
      </c>
    </row>
    <row r="375" spans="1:26">
      <c r="A375"/>
      <c r="B375"/>
      <c r="C375" s="134" t="s">
        <v>2416</v>
      </c>
      <c r="D375" s="106" t="s">
        <v>140</v>
      </c>
      <c r="F375"/>
      <c r="G375"/>
      <c r="H375"/>
      <c r="I375"/>
      <c r="J375"/>
      <c r="K375"/>
      <c r="L375"/>
      <c r="M375"/>
      <c r="N375"/>
      <c r="O375"/>
      <c r="P375"/>
      <c r="Q375"/>
      <c r="R375"/>
      <c r="S375"/>
      <c r="T375"/>
      <c r="U375"/>
      <c r="V375"/>
      <c r="W375"/>
      <c r="X375"/>
      <c r="Y375"/>
      <c r="Z375"/>
    </row>
    <row r="376" spans="1:26">
      <c r="A376"/>
      <c r="B376"/>
      <c r="C376" s="134" t="s">
        <v>2417</v>
      </c>
      <c r="D376" s="106" t="s">
        <v>140</v>
      </c>
      <c r="F376"/>
      <c r="G376"/>
      <c r="H376"/>
      <c r="I376"/>
      <c r="J376"/>
      <c r="K376"/>
      <c r="L376"/>
      <c r="M376"/>
      <c r="N376"/>
      <c r="O376"/>
      <c r="P376"/>
      <c r="Q376"/>
      <c r="R376"/>
      <c r="S376"/>
      <c r="T376"/>
      <c r="U376"/>
      <c r="V376"/>
      <c r="W376"/>
      <c r="X376"/>
      <c r="Y376"/>
      <c r="Z376"/>
    </row>
    <row r="377" spans="1:26">
      <c r="A377"/>
      <c r="B377"/>
      <c r="C377" s="134" t="s">
        <v>2418</v>
      </c>
      <c r="D377" s="106" t="s">
        <v>140</v>
      </c>
      <c r="F377"/>
      <c r="G377"/>
      <c r="H377"/>
      <c r="I377"/>
      <c r="J377"/>
      <c r="K377"/>
      <c r="L377"/>
      <c r="M377"/>
      <c r="N377"/>
      <c r="O377"/>
      <c r="P377"/>
      <c r="Q377"/>
      <c r="R377"/>
      <c r="S377"/>
      <c r="T377"/>
      <c r="U377"/>
      <c r="V377"/>
      <c r="W377"/>
      <c r="X377"/>
      <c r="Y377"/>
      <c r="Z377"/>
    </row>
    <row r="378" spans="1:26">
      <c r="A378"/>
      <c r="B378"/>
      <c r="C378" s="134" t="s">
        <v>2427</v>
      </c>
      <c r="D378" s="106" t="s">
        <v>140</v>
      </c>
      <c r="F378"/>
      <c r="G378"/>
      <c r="H378"/>
      <c r="I378"/>
      <c r="J378"/>
      <c r="K378"/>
      <c r="L378"/>
      <c r="M378"/>
      <c r="N378"/>
      <c r="O378"/>
      <c r="P378"/>
      <c r="Q378"/>
      <c r="R378"/>
      <c r="S378"/>
      <c r="T378"/>
      <c r="U378"/>
      <c r="V378"/>
      <c r="W378"/>
      <c r="X378"/>
      <c r="Y378"/>
      <c r="Z378"/>
    </row>
    <row r="379" spans="1:26">
      <c r="A379"/>
      <c r="B379"/>
      <c r="C379" s="134" t="s">
        <v>2428</v>
      </c>
      <c r="D379" s="106" t="s">
        <v>140</v>
      </c>
      <c r="F379"/>
      <c r="G379"/>
      <c r="H379"/>
      <c r="I379"/>
      <c r="J379"/>
      <c r="K379"/>
      <c r="L379"/>
      <c r="M379"/>
      <c r="N379"/>
      <c r="O379"/>
      <c r="P379"/>
      <c r="Q379"/>
      <c r="R379"/>
      <c r="S379"/>
      <c r="T379"/>
      <c r="U379"/>
      <c r="V379"/>
      <c r="W379"/>
      <c r="X379"/>
      <c r="Y379"/>
      <c r="Z379"/>
    </row>
    <row r="380" spans="1:26">
      <c r="A380"/>
      <c r="B380"/>
      <c r="C380" s="134" t="s">
        <v>2429</v>
      </c>
      <c r="D380" s="106" t="s">
        <v>140</v>
      </c>
      <c r="F380"/>
      <c r="G380"/>
      <c r="H380"/>
      <c r="I380"/>
      <c r="J380"/>
      <c r="K380"/>
      <c r="L380"/>
      <c r="M380"/>
      <c r="N380"/>
      <c r="O380"/>
      <c r="P380"/>
      <c r="Q380"/>
      <c r="R380"/>
      <c r="S380"/>
      <c r="T380"/>
      <c r="U380"/>
      <c r="V380"/>
      <c r="W380"/>
      <c r="X380"/>
      <c r="Y380"/>
      <c r="Z380"/>
    </row>
    <row r="381" spans="1:26">
      <c r="A381"/>
      <c r="B381"/>
      <c r="C381" s="134" t="s">
        <v>2419</v>
      </c>
      <c r="D381" s="106" t="s">
        <v>140</v>
      </c>
      <c r="F381"/>
      <c r="G381"/>
      <c r="H381"/>
      <c r="I381"/>
      <c r="J381"/>
      <c r="K381"/>
      <c r="L381"/>
      <c r="M381"/>
      <c r="N381"/>
      <c r="O381"/>
      <c r="P381"/>
      <c r="Q381"/>
      <c r="R381"/>
      <c r="S381"/>
      <c r="T381"/>
      <c r="U381"/>
      <c r="V381"/>
      <c r="W381"/>
      <c r="X381"/>
      <c r="Y381"/>
      <c r="Z381"/>
    </row>
    <row r="382" spans="1:26">
      <c r="A382"/>
      <c r="B382"/>
      <c r="C382" s="134" t="s">
        <v>2420</v>
      </c>
      <c r="D382" s="106" t="s">
        <v>140</v>
      </c>
      <c r="F382"/>
      <c r="G382"/>
      <c r="H382"/>
      <c r="I382"/>
      <c r="J382"/>
      <c r="K382"/>
      <c r="L382"/>
      <c r="M382"/>
      <c r="N382"/>
      <c r="O382"/>
      <c r="P382"/>
      <c r="Q382"/>
      <c r="R382"/>
      <c r="S382"/>
      <c r="T382"/>
      <c r="U382"/>
      <c r="V382"/>
      <c r="W382"/>
      <c r="X382"/>
      <c r="Y382"/>
      <c r="Z382"/>
    </row>
    <row r="383" spans="1:26">
      <c r="A383"/>
      <c r="B383"/>
      <c r="C383" s="134" t="s">
        <v>2421</v>
      </c>
      <c r="D383" s="106" t="s">
        <v>140</v>
      </c>
      <c r="F383"/>
      <c r="G383"/>
      <c r="H383"/>
      <c r="I383"/>
      <c r="J383"/>
      <c r="K383"/>
      <c r="L383"/>
      <c r="M383"/>
      <c r="N383"/>
      <c r="O383"/>
      <c r="P383"/>
      <c r="Q383"/>
      <c r="R383"/>
      <c r="S383"/>
      <c r="T383"/>
      <c r="U383"/>
      <c r="V383"/>
      <c r="W383"/>
      <c r="X383"/>
      <c r="Y383"/>
      <c r="Z383"/>
    </row>
    <row r="384" spans="1:26">
      <c r="A384"/>
      <c r="B384"/>
      <c r="C384" s="134" t="s">
        <v>2422</v>
      </c>
      <c r="D384" s="106" t="s">
        <v>140</v>
      </c>
      <c r="F384"/>
      <c r="G384"/>
      <c r="H384"/>
      <c r="I384"/>
      <c r="J384"/>
      <c r="K384"/>
      <c r="L384"/>
      <c r="M384"/>
      <c r="N384"/>
      <c r="O384"/>
      <c r="P384"/>
      <c r="Q384"/>
      <c r="R384"/>
      <c r="S384"/>
      <c r="T384"/>
      <c r="U384"/>
      <c r="V384"/>
      <c r="W384"/>
      <c r="X384"/>
      <c r="Y384"/>
      <c r="Z384"/>
    </row>
    <row r="385" spans="1:26">
      <c r="A385"/>
      <c r="B385"/>
      <c r="C385" s="134" t="s">
        <v>2423</v>
      </c>
      <c r="D385" s="106" t="s">
        <v>140</v>
      </c>
      <c r="F385"/>
      <c r="G385"/>
      <c r="H385"/>
      <c r="I385"/>
      <c r="J385"/>
      <c r="K385"/>
      <c r="L385"/>
      <c r="M385"/>
      <c r="N385"/>
      <c r="O385"/>
      <c r="P385"/>
      <c r="Q385"/>
      <c r="R385"/>
      <c r="S385"/>
      <c r="T385"/>
      <c r="U385"/>
      <c r="V385"/>
      <c r="W385"/>
      <c r="X385"/>
      <c r="Y385"/>
      <c r="Z385"/>
    </row>
    <row r="386" spans="1:26">
      <c r="A386"/>
      <c r="B386"/>
      <c r="C386" s="134" t="s">
        <v>2430</v>
      </c>
      <c r="D386" s="106" t="s">
        <v>140</v>
      </c>
      <c r="F386"/>
      <c r="G386"/>
      <c r="H386"/>
      <c r="I386"/>
      <c r="J386"/>
      <c r="K386"/>
      <c r="L386"/>
      <c r="M386"/>
      <c r="N386"/>
      <c r="O386"/>
      <c r="P386"/>
      <c r="Q386"/>
      <c r="R386"/>
      <c r="S386"/>
      <c r="T386"/>
      <c r="U386"/>
      <c r="V386"/>
      <c r="W386"/>
      <c r="X386"/>
      <c r="Y386"/>
      <c r="Z386"/>
    </row>
    <row r="387" spans="1:26">
      <c r="A387"/>
      <c r="B387"/>
      <c r="C387" s="134" t="s">
        <v>2434</v>
      </c>
      <c r="D387" s="106" t="s">
        <v>140</v>
      </c>
      <c r="F387"/>
      <c r="G387"/>
      <c r="H387"/>
      <c r="I387"/>
      <c r="J387"/>
      <c r="K387"/>
      <c r="L387"/>
      <c r="M387"/>
      <c r="N387"/>
      <c r="O387"/>
      <c r="P387"/>
      <c r="Q387"/>
      <c r="R387"/>
      <c r="S387"/>
      <c r="T387"/>
      <c r="U387"/>
      <c r="V387"/>
      <c r="W387"/>
      <c r="X387"/>
      <c r="Y387"/>
      <c r="Z387"/>
    </row>
    <row r="388" spans="1:26">
      <c r="A388"/>
      <c r="B388"/>
      <c r="C388" s="134" t="s">
        <v>2436</v>
      </c>
      <c r="D388" s="106" t="s">
        <v>140</v>
      </c>
      <c r="F388"/>
      <c r="G388"/>
      <c r="H388"/>
      <c r="I388"/>
      <c r="J388"/>
      <c r="K388"/>
      <c r="L388"/>
      <c r="M388"/>
      <c r="N388"/>
      <c r="O388"/>
      <c r="P388"/>
      <c r="Q388"/>
      <c r="R388"/>
      <c r="S388"/>
      <c r="T388"/>
      <c r="U388"/>
      <c r="V388"/>
      <c r="W388"/>
      <c r="X388"/>
      <c r="Y388"/>
      <c r="Z388"/>
    </row>
    <row r="389" spans="1:26">
      <c r="A389"/>
      <c r="B389"/>
      <c r="C389" s="134" t="s">
        <v>2437</v>
      </c>
      <c r="D389" s="106" t="s">
        <v>140</v>
      </c>
      <c r="F389"/>
      <c r="G389"/>
      <c r="H389"/>
      <c r="I389"/>
      <c r="J389"/>
      <c r="K389"/>
      <c r="L389"/>
      <c r="M389"/>
      <c r="N389"/>
      <c r="O389"/>
      <c r="P389"/>
      <c r="Q389"/>
      <c r="R389"/>
      <c r="S389"/>
      <c r="T389"/>
      <c r="U389"/>
      <c r="V389"/>
      <c r="W389"/>
      <c r="X389"/>
      <c r="Y389"/>
      <c r="Z389"/>
    </row>
    <row r="390" spans="1:26" ht="76.5">
      <c r="A390"/>
      <c r="B390" s="137" t="s">
        <v>2480</v>
      </c>
      <c r="C390" s="134" t="s">
        <v>2585</v>
      </c>
      <c r="D390" s="106" t="s">
        <v>140</v>
      </c>
      <c r="E390" s="106">
        <v>82</v>
      </c>
      <c r="F390"/>
      <c r="G390"/>
      <c r="H390"/>
      <c r="I390"/>
      <c r="J390"/>
      <c r="K390"/>
      <c r="L390"/>
      <c r="M390"/>
      <c r="N390"/>
      <c r="O390"/>
      <c r="P390"/>
      <c r="Q390"/>
      <c r="R390"/>
      <c r="S390"/>
      <c r="T390"/>
      <c r="U390"/>
      <c r="V390"/>
      <c r="W390"/>
      <c r="X390"/>
      <c r="Y390"/>
      <c r="Z390"/>
    </row>
    <row r="391" spans="1:26">
      <c r="A391"/>
      <c r="B391"/>
      <c r="C391" s="134" t="s">
        <v>2432</v>
      </c>
      <c r="D391" s="106" t="s">
        <v>140</v>
      </c>
      <c r="E391"/>
      <c r="F391"/>
      <c r="G391"/>
      <c r="H391"/>
      <c r="I391"/>
      <c r="J391"/>
      <c r="K391"/>
      <c r="L391"/>
      <c r="M391"/>
      <c r="N391"/>
      <c r="O391"/>
      <c r="P391"/>
      <c r="Q391"/>
      <c r="R391"/>
      <c r="S391"/>
      <c r="T391"/>
      <c r="U391"/>
      <c r="V391"/>
      <c r="W391"/>
      <c r="X391"/>
      <c r="Y391"/>
      <c r="Z391"/>
    </row>
    <row r="392" spans="1:26">
      <c r="A392"/>
      <c r="B392"/>
      <c r="C392" s="134" t="s">
        <v>2433</v>
      </c>
      <c r="D392" s="106" t="s">
        <v>140</v>
      </c>
      <c r="E392"/>
      <c r="F392"/>
      <c r="G392"/>
      <c r="H392"/>
      <c r="I392"/>
      <c r="J392"/>
      <c r="K392"/>
      <c r="L392"/>
      <c r="M392"/>
      <c r="N392"/>
      <c r="O392"/>
      <c r="P392"/>
      <c r="Q392"/>
      <c r="R392"/>
      <c r="S392"/>
      <c r="T392"/>
      <c r="U392"/>
      <c r="V392"/>
      <c r="W392"/>
      <c r="X392"/>
      <c r="Y392"/>
      <c r="Z392"/>
    </row>
    <row r="393" spans="1:26" ht="47.25" customHeight="1">
      <c r="B393" s="50" t="s">
        <v>2481</v>
      </c>
      <c r="C393" s="134" t="s">
        <v>2586</v>
      </c>
      <c r="D393" s="106" t="s">
        <v>140</v>
      </c>
      <c r="E393" s="106">
        <v>284</v>
      </c>
    </row>
    <row r="394" spans="1:26">
      <c r="C394" s="134" t="s">
        <v>2425</v>
      </c>
      <c r="D394" s="106" t="s">
        <v>140</v>
      </c>
    </row>
    <row r="395" spans="1:26">
      <c r="C395" s="134" t="s">
        <v>2415</v>
      </c>
      <c r="D395" s="106" t="s">
        <v>140</v>
      </c>
    </row>
    <row r="396" spans="1:26">
      <c r="C396" s="134" t="s">
        <v>2426</v>
      </c>
      <c r="D396" s="106" t="s">
        <v>140</v>
      </c>
    </row>
    <row r="397" spans="1:26">
      <c r="A397"/>
      <c r="B397"/>
      <c r="C397" s="134" t="s">
        <v>2416</v>
      </c>
      <c r="D397" s="106" t="s">
        <v>140</v>
      </c>
      <c r="E397"/>
      <c r="F397"/>
      <c r="G397"/>
      <c r="H397"/>
      <c r="I397"/>
      <c r="J397"/>
      <c r="K397"/>
      <c r="L397"/>
      <c r="M397"/>
      <c r="N397"/>
      <c r="O397"/>
      <c r="P397"/>
      <c r="Q397"/>
      <c r="R397"/>
      <c r="S397"/>
      <c r="T397"/>
      <c r="U397"/>
      <c r="V397"/>
      <c r="W397"/>
      <c r="X397"/>
      <c r="Y397"/>
      <c r="Z397"/>
    </row>
    <row r="398" spans="1:26">
      <c r="A398"/>
      <c r="B398"/>
      <c r="C398" s="134" t="s">
        <v>2417</v>
      </c>
      <c r="D398" s="106" t="s">
        <v>140</v>
      </c>
      <c r="E398"/>
      <c r="F398"/>
      <c r="G398"/>
      <c r="H398"/>
      <c r="I398"/>
      <c r="J398"/>
      <c r="K398"/>
      <c r="L398"/>
      <c r="M398"/>
      <c r="N398"/>
      <c r="O398"/>
      <c r="P398"/>
      <c r="Q398"/>
      <c r="R398"/>
      <c r="S398"/>
      <c r="T398"/>
      <c r="U398"/>
      <c r="V398"/>
      <c r="W398"/>
      <c r="X398"/>
      <c r="Y398"/>
      <c r="Z398"/>
    </row>
    <row r="399" spans="1:26">
      <c r="A399"/>
      <c r="B399"/>
      <c r="C399" s="134" t="s">
        <v>2418</v>
      </c>
      <c r="D399" s="106" t="s">
        <v>140</v>
      </c>
      <c r="E399"/>
      <c r="F399"/>
      <c r="G399"/>
      <c r="H399"/>
      <c r="I399"/>
      <c r="J399"/>
      <c r="K399"/>
      <c r="L399"/>
      <c r="M399"/>
      <c r="N399"/>
      <c r="O399"/>
      <c r="P399"/>
      <c r="Q399"/>
      <c r="R399"/>
      <c r="S399"/>
      <c r="T399"/>
      <c r="U399"/>
      <c r="V399"/>
      <c r="W399"/>
      <c r="X399"/>
      <c r="Y399"/>
      <c r="Z399"/>
    </row>
    <row r="400" spans="1:26">
      <c r="A400"/>
      <c r="B400"/>
      <c r="C400" s="134" t="s">
        <v>2427</v>
      </c>
      <c r="D400" s="106" t="s">
        <v>140</v>
      </c>
      <c r="E400"/>
      <c r="F400"/>
      <c r="G400"/>
      <c r="H400"/>
      <c r="I400"/>
      <c r="J400"/>
      <c r="K400"/>
      <c r="L400"/>
      <c r="M400"/>
      <c r="N400"/>
      <c r="O400"/>
      <c r="P400"/>
      <c r="Q400"/>
      <c r="R400"/>
      <c r="S400"/>
      <c r="T400"/>
      <c r="U400"/>
      <c r="V400"/>
      <c r="W400"/>
      <c r="X400"/>
      <c r="Y400"/>
      <c r="Z400"/>
    </row>
    <row r="401" spans="1:26">
      <c r="A401"/>
      <c r="B401"/>
      <c r="C401" s="134" t="s">
        <v>2428</v>
      </c>
      <c r="D401" s="106" t="s">
        <v>140</v>
      </c>
      <c r="E401"/>
      <c r="F401"/>
      <c r="G401"/>
      <c r="H401"/>
      <c r="I401"/>
      <c r="J401"/>
      <c r="K401"/>
      <c r="L401"/>
      <c r="M401"/>
      <c r="N401"/>
      <c r="O401"/>
      <c r="P401"/>
      <c r="Q401"/>
      <c r="R401"/>
      <c r="S401"/>
      <c r="T401"/>
      <c r="U401"/>
      <c r="V401"/>
      <c r="W401"/>
      <c r="X401"/>
      <c r="Y401"/>
      <c r="Z401"/>
    </row>
    <row r="402" spans="1:26">
      <c r="A402"/>
      <c r="B402"/>
      <c r="C402" s="134" t="s">
        <v>2429</v>
      </c>
      <c r="D402" s="106" t="s">
        <v>140</v>
      </c>
      <c r="E402"/>
      <c r="F402"/>
      <c r="G402"/>
      <c r="H402"/>
      <c r="I402"/>
      <c r="J402"/>
      <c r="K402"/>
      <c r="L402"/>
      <c r="M402"/>
      <c r="N402"/>
      <c r="O402"/>
      <c r="P402"/>
      <c r="Q402"/>
      <c r="R402"/>
      <c r="S402"/>
      <c r="T402"/>
      <c r="U402"/>
      <c r="V402"/>
      <c r="W402"/>
      <c r="X402"/>
      <c r="Y402"/>
      <c r="Z402"/>
    </row>
    <row r="403" spans="1:26">
      <c r="A403"/>
      <c r="B403"/>
      <c r="C403" s="134" t="s">
        <v>2419</v>
      </c>
      <c r="D403" s="106" t="s">
        <v>140</v>
      </c>
      <c r="E403"/>
      <c r="F403"/>
      <c r="G403"/>
      <c r="H403"/>
      <c r="I403"/>
      <c r="J403"/>
      <c r="K403"/>
      <c r="L403"/>
      <c r="M403"/>
      <c r="N403"/>
      <c r="O403"/>
      <c r="P403"/>
      <c r="Q403"/>
      <c r="R403"/>
      <c r="S403"/>
      <c r="T403"/>
      <c r="U403"/>
      <c r="V403"/>
      <c r="W403"/>
      <c r="X403"/>
      <c r="Y403"/>
      <c r="Z403"/>
    </row>
    <row r="404" spans="1:26">
      <c r="A404"/>
      <c r="B404"/>
      <c r="C404" s="134" t="s">
        <v>2420</v>
      </c>
      <c r="D404" s="106" t="s">
        <v>140</v>
      </c>
      <c r="E404"/>
      <c r="F404"/>
      <c r="G404"/>
      <c r="H404"/>
      <c r="I404"/>
      <c r="J404"/>
      <c r="K404"/>
      <c r="L404"/>
      <c r="M404"/>
      <c r="N404"/>
      <c r="O404"/>
      <c r="P404"/>
      <c r="Q404"/>
      <c r="R404"/>
      <c r="S404"/>
      <c r="T404"/>
      <c r="U404"/>
      <c r="V404"/>
      <c r="W404"/>
      <c r="X404"/>
      <c r="Y404"/>
      <c r="Z404"/>
    </row>
    <row r="405" spans="1:26">
      <c r="A405"/>
      <c r="B405"/>
      <c r="C405" s="134" t="s">
        <v>2421</v>
      </c>
      <c r="D405" s="106" t="s">
        <v>140</v>
      </c>
      <c r="E405"/>
      <c r="F405"/>
      <c r="G405"/>
      <c r="H405"/>
      <c r="I405"/>
      <c r="J405"/>
      <c r="K405"/>
      <c r="L405"/>
      <c r="M405"/>
      <c r="N405"/>
      <c r="O405"/>
      <c r="P405"/>
      <c r="Q405"/>
      <c r="R405"/>
      <c r="S405"/>
      <c r="T405"/>
      <c r="U405"/>
      <c r="V405"/>
      <c r="W405"/>
      <c r="X405"/>
      <c r="Y405"/>
      <c r="Z405"/>
    </row>
    <row r="406" spans="1:26">
      <c r="A406"/>
      <c r="B406"/>
      <c r="C406" s="134" t="s">
        <v>2422</v>
      </c>
      <c r="D406" s="106" t="s">
        <v>140</v>
      </c>
      <c r="E406"/>
      <c r="F406"/>
      <c r="G406"/>
      <c r="H406"/>
      <c r="I406"/>
      <c r="J406"/>
      <c r="K406"/>
      <c r="L406"/>
      <c r="M406"/>
      <c r="N406"/>
      <c r="O406"/>
      <c r="P406"/>
      <c r="Q406"/>
      <c r="R406"/>
      <c r="S406"/>
      <c r="T406"/>
      <c r="U406"/>
      <c r="V406"/>
      <c r="W406"/>
      <c r="X406"/>
      <c r="Y406"/>
      <c r="Z406"/>
    </row>
    <row r="407" spans="1:26">
      <c r="A407"/>
      <c r="B407"/>
      <c r="C407" s="134" t="s">
        <v>2423</v>
      </c>
      <c r="D407" s="106" t="s">
        <v>140</v>
      </c>
      <c r="E407"/>
      <c r="F407"/>
      <c r="G407"/>
      <c r="H407"/>
      <c r="I407"/>
      <c r="J407"/>
      <c r="K407"/>
      <c r="L407"/>
      <c r="M407"/>
      <c r="N407"/>
      <c r="O407"/>
      <c r="P407"/>
      <c r="Q407"/>
      <c r="R407"/>
      <c r="S407"/>
      <c r="T407"/>
      <c r="U407"/>
      <c r="V407"/>
      <c r="W407"/>
      <c r="X407"/>
      <c r="Y407"/>
      <c r="Z407"/>
    </row>
    <row r="408" spans="1:26">
      <c r="A408"/>
      <c r="B408"/>
      <c r="C408" s="134" t="s">
        <v>2430</v>
      </c>
      <c r="D408" s="106" t="s">
        <v>140</v>
      </c>
      <c r="E408"/>
      <c r="F408"/>
      <c r="G408"/>
      <c r="H408"/>
      <c r="I408"/>
      <c r="J408"/>
      <c r="K408"/>
      <c r="L408"/>
      <c r="M408"/>
      <c r="N408"/>
      <c r="O408"/>
      <c r="P408"/>
      <c r="Q408"/>
      <c r="R408"/>
      <c r="S408"/>
      <c r="T408"/>
      <c r="U408"/>
      <c r="V408"/>
      <c r="W408"/>
      <c r="X408"/>
      <c r="Y408"/>
      <c r="Z408"/>
    </row>
    <row r="409" spans="1:26">
      <c r="A409"/>
      <c r="B409"/>
      <c r="C409" s="134" t="s">
        <v>2432</v>
      </c>
      <c r="D409" s="106" t="s">
        <v>140</v>
      </c>
      <c r="E409"/>
      <c r="F409"/>
      <c r="G409"/>
      <c r="H409"/>
      <c r="I409"/>
      <c r="J409"/>
      <c r="K409"/>
      <c r="L409"/>
      <c r="M409"/>
      <c r="N409"/>
      <c r="O409"/>
      <c r="P409"/>
      <c r="Q409"/>
      <c r="R409"/>
      <c r="S409"/>
      <c r="T409"/>
      <c r="U409"/>
      <c r="V409"/>
      <c r="W409"/>
      <c r="X409"/>
      <c r="Y409"/>
      <c r="Z409"/>
    </row>
    <row r="410" spans="1:26">
      <c r="A410"/>
      <c r="B410"/>
      <c r="C410" s="134" t="s">
        <v>2433</v>
      </c>
      <c r="D410" s="106" t="s">
        <v>140</v>
      </c>
      <c r="E410"/>
      <c r="F410"/>
      <c r="G410"/>
      <c r="H410"/>
      <c r="I410"/>
      <c r="J410"/>
      <c r="K410"/>
      <c r="L410"/>
      <c r="M410"/>
      <c r="N410"/>
      <c r="O410"/>
      <c r="P410"/>
      <c r="Q410"/>
      <c r="R410"/>
      <c r="S410"/>
      <c r="T410"/>
      <c r="U410"/>
      <c r="V410"/>
      <c r="W410"/>
      <c r="X410"/>
      <c r="Y410"/>
      <c r="Z410"/>
    </row>
    <row r="411" spans="1:26">
      <c r="A411"/>
      <c r="B411"/>
      <c r="C411" s="134" t="s">
        <v>2434</v>
      </c>
      <c r="D411" s="106" t="s">
        <v>140</v>
      </c>
      <c r="E411"/>
      <c r="F411"/>
      <c r="G411"/>
      <c r="H411"/>
      <c r="I411"/>
      <c r="J411"/>
      <c r="K411"/>
      <c r="L411"/>
      <c r="M411"/>
      <c r="N411"/>
      <c r="O411"/>
      <c r="P411"/>
      <c r="Q411"/>
      <c r="R411"/>
      <c r="S411"/>
      <c r="T411"/>
      <c r="U411"/>
      <c r="V411"/>
      <c r="W411"/>
      <c r="X411"/>
      <c r="Y411"/>
      <c r="Z411"/>
    </row>
    <row r="412" spans="1:26">
      <c r="A412"/>
      <c r="B412"/>
      <c r="C412" s="134" t="s">
        <v>2436</v>
      </c>
      <c r="D412" s="106" t="s">
        <v>140</v>
      </c>
      <c r="E412"/>
      <c r="F412"/>
      <c r="G412"/>
      <c r="H412"/>
      <c r="I412"/>
      <c r="J412"/>
      <c r="K412"/>
      <c r="L412"/>
      <c r="M412"/>
      <c r="N412"/>
      <c r="O412"/>
      <c r="P412"/>
      <c r="Q412"/>
      <c r="R412"/>
      <c r="S412"/>
      <c r="T412"/>
      <c r="U412"/>
      <c r="V412"/>
      <c r="W412"/>
      <c r="X412"/>
      <c r="Y412"/>
      <c r="Z412"/>
    </row>
    <row r="413" spans="1:26">
      <c r="A413"/>
      <c r="B413"/>
      <c r="C413" s="134" t="s">
        <v>2437</v>
      </c>
      <c r="D413" s="106" t="s">
        <v>140</v>
      </c>
      <c r="E413"/>
      <c r="F413"/>
      <c r="G413"/>
      <c r="H413"/>
      <c r="I413"/>
      <c r="J413"/>
      <c r="K413"/>
      <c r="L413"/>
      <c r="M413"/>
      <c r="N413"/>
      <c r="O413"/>
      <c r="P413"/>
      <c r="Q413"/>
      <c r="R413"/>
      <c r="S413"/>
      <c r="T413"/>
      <c r="U413"/>
      <c r="V413"/>
      <c r="W413"/>
      <c r="X413"/>
      <c r="Y413"/>
      <c r="Z413"/>
    </row>
    <row r="414" spans="1:26" ht="81.75" customHeight="1">
      <c r="B414" s="50" t="s">
        <v>2482</v>
      </c>
      <c r="C414" s="134" t="s">
        <v>2587</v>
      </c>
      <c r="D414" s="106" t="s">
        <v>140</v>
      </c>
      <c r="E414" s="106">
        <v>221</v>
      </c>
    </row>
    <row r="415" spans="1:26">
      <c r="C415" s="134" t="s">
        <v>2425</v>
      </c>
      <c r="D415" s="106" t="s">
        <v>140</v>
      </c>
    </row>
    <row r="416" spans="1:26">
      <c r="C416" s="134" t="s">
        <v>2426</v>
      </c>
      <c r="D416" s="106" t="s">
        <v>140</v>
      </c>
    </row>
    <row r="417" spans="1:26" ht="14.25" customHeight="1">
      <c r="A417"/>
      <c r="B417"/>
      <c r="C417" s="134" t="s">
        <v>2417</v>
      </c>
      <c r="D417" s="106" t="s">
        <v>140</v>
      </c>
      <c r="F417"/>
      <c r="G417"/>
      <c r="H417"/>
      <c r="I417"/>
      <c r="J417"/>
      <c r="K417"/>
      <c r="L417"/>
      <c r="M417"/>
      <c r="N417"/>
      <c r="O417"/>
      <c r="P417"/>
      <c r="Q417"/>
      <c r="R417"/>
      <c r="S417"/>
      <c r="T417"/>
      <c r="U417"/>
      <c r="V417"/>
      <c r="W417"/>
      <c r="X417"/>
      <c r="Y417"/>
      <c r="Z417"/>
    </row>
    <row r="418" spans="1:26">
      <c r="A418"/>
      <c r="B418"/>
      <c r="C418" s="134" t="s">
        <v>2418</v>
      </c>
      <c r="D418" s="106" t="s">
        <v>140</v>
      </c>
      <c r="F418"/>
      <c r="G418"/>
      <c r="H418"/>
      <c r="I418"/>
      <c r="J418"/>
      <c r="K418"/>
      <c r="L418"/>
      <c r="M418"/>
      <c r="N418"/>
      <c r="O418"/>
      <c r="P418"/>
      <c r="Q418"/>
      <c r="R418"/>
      <c r="S418"/>
      <c r="T418"/>
      <c r="U418"/>
      <c r="V418"/>
      <c r="W418"/>
      <c r="X418"/>
      <c r="Y418"/>
      <c r="Z418"/>
    </row>
    <row r="419" spans="1:26">
      <c r="A419"/>
      <c r="B419"/>
      <c r="C419" s="134" t="s">
        <v>2419</v>
      </c>
      <c r="D419" s="106" t="s">
        <v>140</v>
      </c>
      <c r="F419"/>
      <c r="G419"/>
      <c r="H419"/>
      <c r="I419"/>
      <c r="J419"/>
      <c r="K419"/>
      <c r="L419"/>
      <c r="M419"/>
      <c r="N419"/>
      <c r="O419"/>
      <c r="P419"/>
      <c r="Q419"/>
      <c r="R419"/>
      <c r="S419"/>
      <c r="T419"/>
      <c r="U419"/>
      <c r="V419"/>
      <c r="W419"/>
      <c r="X419"/>
      <c r="Y419"/>
      <c r="Z419"/>
    </row>
    <row r="420" spans="1:26">
      <c r="A420"/>
      <c r="B420"/>
      <c r="C420" s="134" t="s">
        <v>2420</v>
      </c>
      <c r="D420" s="106" t="s">
        <v>140</v>
      </c>
      <c r="F420"/>
      <c r="G420"/>
      <c r="H420"/>
      <c r="I420"/>
      <c r="J420"/>
      <c r="K420"/>
      <c r="L420"/>
      <c r="M420"/>
      <c r="N420"/>
      <c r="O420"/>
      <c r="P420"/>
      <c r="Q420"/>
      <c r="R420"/>
      <c r="S420"/>
      <c r="T420"/>
      <c r="U420"/>
      <c r="V420"/>
      <c r="W420"/>
      <c r="X420"/>
      <c r="Y420"/>
      <c r="Z420"/>
    </row>
    <row r="421" spans="1:26">
      <c r="A421"/>
      <c r="B421"/>
      <c r="C421" s="134" t="s">
        <v>2421</v>
      </c>
      <c r="D421" s="106" t="s">
        <v>140</v>
      </c>
      <c r="F421"/>
      <c r="G421"/>
      <c r="H421"/>
      <c r="I421"/>
      <c r="J421"/>
      <c r="K421"/>
      <c r="L421"/>
      <c r="M421"/>
      <c r="N421"/>
      <c r="O421"/>
      <c r="P421"/>
      <c r="Q421"/>
      <c r="R421"/>
      <c r="S421"/>
      <c r="T421"/>
      <c r="U421"/>
      <c r="V421"/>
      <c r="W421"/>
      <c r="X421"/>
      <c r="Y421"/>
      <c r="Z421"/>
    </row>
    <row r="422" spans="1:26">
      <c r="A422"/>
      <c r="B422"/>
      <c r="C422" s="134" t="s">
        <v>2422</v>
      </c>
      <c r="D422" s="106" t="s">
        <v>140</v>
      </c>
      <c r="F422"/>
      <c r="G422"/>
      <c r="H422"/>
      <c r="I422"/>
      <c r="J422"/>
      <c r="K422"/>
      <c r="L422"/>
      <c r="M422"/>
      <c r="N422"/>
      <c r="O422"/>
      <c r="P422"/>
      <c r="Q422"/>
      <c r="R422"/>
      <c r="S422"/>
      <c r="T422"/>
      <c r="U422"/>
      <c r="V422"/>
      <c r="W422"/>
      <c r="X422"/>
      <c r="Y422"/>
      <c r="Z422"/>
    </row>
    <row r="423" spans="1:26">
      <c r="A423"/>
      <c r="B423"/>
      <c r="C423" s="134" t="s">
        <v>2423</v>
      </c>
      <c r="D423" s="106" t="s">
        <v>140</v>
      </c>
      <c r="F423"/>
      <c r="G423"/>
      <c r="H423"/>
      <c r="I423"/>
      <c r="J423"/>
      <c r="K423"/>
      <c r="L423"/>
      <c r="M423"/>
      <c r="N423"/>
      <c r="O423"/>
      <c r="P423"/>
      <c r="Q423"/>
      <c r="R423"/>
      <c r="S423"/>
      <c r="T423"/>
      <c r="U423"/>
      <c r="V423"/>
      <c r="W423"/>
      <c r="X423"/>
      <c r="Y423"/>
      <c r="Z423"/>
    </row>
    <row r="424" spans="1:26">
      <c r="A424"/>
      <c r="B424"/>
      <c r="C424" s="134" t="s">
        <v>2430</v>
      </c>
      <c r="D424" s="106" t="s">
        <v>140</v>
      </c>
      <c r="F424"/>
      <c r="G424"/>
      <c r="H424"/>
      <c r="I424"/>
      <c r="J424"/>
      <c r="K424"/>
      <c r="L424"/>
      <c r="M424"/>
      <c r="N424"/>
      <c r="O424"/>
      <c r="P424"/>
      <c r="Q424"/>
      <c r="R424"/>
      <c r="S424"/>
      <c r="T424"/>
      <c r="U424"/>
      <c r="V424"/>
      <c r="W424"/>
      <c r="X424"/>
      <c r="Y424"/>
      <c r="Z424"/>
    </row>
    <row r="425" spans="1:26">
      <c r="A425"/>
      <c r="B425"/>
      <c r="C425" s="134" t="s">
        <v>2432</v>
      </c>
      <c r="D425" s="106" t="s">
        <v>140</v>
      </c>
      <c r="F425"/>
      <c r="G425"/>
      <c r="H425"/>
      <c r="I425"/>
      <c r="J425"/>
      <c r="K425"/>
      <c r="L425"/>
      <c r="M425"/>
      <c r="N425"/>
      <c r="O425"/>
      <c r="P425"/>
      <c r="Q425"/>
      <c r="R425"/>
      <c r="S425"/>
      <c r="T425"/>
      <c r="U425"/>
      <c r="V425"/>
      <c r="W425"/>
      <c r="X425"/>
      <c r="Y425"/>
      <c r="Z425"/>
    </row>
    <row r="426" spans="1:26">
      <c r="A426"/>
      <c r="B426"/>
      <c r="C426" s="134" t="s">
        <v>2433</v>
      </c>
      <c r="D426" s="106" t="s">
        <v>140</v>
      </c>
      <c r="F426"/>
      <c r="G426"/>
      <c r="H426"/>
      <c r="I426"/>
      <c r="J426"/>
      <c r="K426"/>
      <c r="L426"/>
      <c r="M426"/>
      <c r="N426"/>
      <c r="O426"/>
      <c r="P426"/>
      <c r="Q426"/>
      <c r="R426"/>
      <c r="S426"/>
      <c r="T426"/>
      <c r="U426"/>
      <c r="V426"/>
      <c r="W426"/>
      <c r="X426"/>
      <c r="Y426"/>
      <c r="Z426"/>
    </row>
    <row r="427" spans="1:26">
      <c r="A427"/>
      <c r="B427"/>
      <c r="C427" s="134" t="s">
        <v>2434</v>
      </c>
      <c r="D427" s="106" t="s">
        <v>140</v>
      </c>
      <c r="F427"/>
      <c r="G427"/>
      <c r="H427"/>
      <c r="I427"/>
      <c r="J427"/>
      <c r="K427"/>
      <c r="L427"/>
      <c r="M427"/>
      <c r="N427"/>
      <c r="O427"/>
      <c r="P427"/>
      <c r="Q427"/>
      <c r="R427"/>
      <c r="S427"/>
      <c r="T427"/>
      <c r="U427"/>
      <c r="V427"/>
      <c r="W427"/>
      <c r="X427"/>
      <c r="Y427"/>
      <c r="Z427"/>
    </row>
    <row r="428" spans="1:26">
      <c r="A428"/>
      <c r="B428"/>
      <c r="C428" s="134" t="s">
        <v>2436</v>
      </c>
      <c r="D428" s="106" t="s">
        <v>140</v>
      </c>
      <c r="F428"/>
      <c r="G428"/>
      <c r="H428"/>
      <c r="I428"/>
      <c r="J428"/>
      <c r="K428"/>
      <c r="L428"/>
      <c r="M428"/>
      <c r="N428"/>
      <c r="O428"/>
      <c r="P428"/>
      <c r="Q428"/>
      <c r="R428"/>
      <c r="S428"/>
      <c r="T428"/>
      <c r="U428"/>
      <c r="V428"/>
      <c r="W428"/>
      <c r="X428"/>
      <c r="Y428"/>
      <c r="Z428"/>
    </row>
    <row r="429" spans="1:26">
      <c r="A429"/>
      <c r="B429"/>
      <c r="C429" s="134" t="s">
        <v>2437</v>
      </c>
      <c r="D429" s="106" t="s">
        <v>140</v>
      </c>
      <c r="F429"/>
      <c r="G429"/>
      <c r="H429"/>
      <c r="I429"/>
      <c r="J429"/>
      <c r="K429"/>
      <c r="L429"/>
      <c r="M429"/>
      <c r="N429"/>
      <c r="O429"/>
      <c r="P429"/>
      <c r="Q429"/>
      <c r="R429"/>
      <c r="S429"/>
      <c r="T429"/>
      <c r="U429"/>
      <c r="V429"/>
      <c r="W429"/>
      <c r="X429"/>
      <c r="Y429"/>
      <c r="Z429"/>
    </row>
    <row r="430" spans="1:26" ht="69" customHeight="1">
      <c r="B430" s="50" t="s">
        <v>2483</v>
      </c>
      <c r="C430" s="134" t="s">
        <v>2588</v>
      </c>
      <c r="D430" s="106" t="s">
        <v>140</v>
      </c>
      <c r="E430" s="106">
        <v>71</v>
      </c>
    </row>
    <row r="431" spans="1:26">
      <c r="C431" s="134" t="s">
        <v>2415</v>
      </c>
      <c r="D431" s="106" t="s">
        <v>140</v>
      </c>
    </row>
    <row r="432" spans="1:26">
      <c r="A432"/>
      <c r="B432"/>
      <c r="C432" s="134" t="s">
        <v>2484</v>
      </c>
      <c r="D432" s="106" t="s">
        <v>140</v>
      </c>
      <c r="F432"/>
      <c r="G432"/>
      <c r="H432"/>
      <c r="I432"/>
      <c r="J432"/>
      <c r="K432"/>
      <c r="L432"/>
      <c r="M432"/>
      <c r="N432"/>
      <c r="O432"/>
      <c r="P432"/>
      <c r="Q432"/>
      <c r="R432"/>
      <c r="S432"/>
      <c r="T432"/>
      <c r="U432"/>
      <c r="V432"/>
      <c r="W432"/>
      <c r="X432"/>
      <c r="Y432"/>
      <c r="Z432"/>
    </row>
    <row r="433" spans="1:26">
      <c r="A433"/>
      <c r="B433"/>
      <c r="C433" s="134" t="s">
        <v>2427</v>
      </c>
      <c r="D433" s="106" t="s">
        <v>140</v>
      </c>
      <c r="F433"/>
      <c r="G433"/>
      <c r="H433"/>
      <c r="I433"/>
      <c r="J433"/>
      <c r="K433"/>
      <c r="L433"/>
      <c r="M433"/>
      <c r="N433"/>
      <c r="O433"/>
      <c r="P433"/>
      <c r="Q433"/>
      <c r="R433"/>
      <c r="S433"/>
      <c r="T433"/>
      <c r="U433"/>
      <c r="V433"/>
      <c r="W433"/>
      <c r="X433"/>
      <c r="Y433"/>
      <c r="Z433"/>
    </row>
    <row r="434" spans="1:26">
      <c r="A434"/>
      <c r="B434"/>
      <c r="C434" s="134" t="s">
        <v>2428</v>
      </c>
      <c r="D434" s="106" t="s">
        <v>140</v>
      </c>
      <c r="F434"/>
      <c r="G434"/>
      <c r="H434"/>
      <c r="I434"/>
      <c r="J434"/>
      <c r="K434"/>
      <c r="L434"/>
      <c r="M434"/>
      <c r="N434"/>
      <c r="O434"/>
      <c r="P434"/>
      <c r="Q434"/>
      <c r="R434"/>
      <c r="S434"/>
      <c r="T434"/>
      <c r="U434"/>
      <c r="V434"/>
      <c r="W434"/>
      <c r="X434"/>
      <c r="Y434"/>
      <c r="Z434"/>
    </row>
    <row r="435" spans="1:26">
      <c r="A435"/>
      <c r="B435"/>
      <c r="C435" s="134" t="s">
        <v>2429</v>
      </c>
      <c r="D435" s="106" t="s">
        <v>140</v>
      </c>
      <c r="F435"/>
      <c r="G435"/>
      <c r="H435"/>
      <c r="I435"/>
      <c r="J435"/>
      <c r="K435"/>
      <c r="L435"/>
      <c r="M435"/>
      <c r="N435"/>
      <c r="O435"/>
      <c r="P435"/>
      <c r="Q435"/>
      <c r="R435"/>
      <c r="S435"/>
      <c r="T435"/>
      <c r="U435"/>
      <c r="V435"/>
      <c r="W435"/>
      <c r="X435"/>
      <c r="Y435"/>
      <c r="Z435"/>
    </row>
    <row r="436" spans="1:26" ht="102">
      <c r="B436" s="50" t="s">
        <v>2485</v>
      </c>
      <c r="C436" s="134" t="s">
        <v>2589</v>
      </c>
      <c r="D436" s="106" t="s">
        <v>140</v>
      </c>
      <c r="E436" s="105">
        <v>307</v>
      </c>
    </row>
    <row r="437" spans="1:26">
      <c r="C437" s="134" t="s">
        <v>2425</v>
      </c>
      <c r="D437" s="106" t="s">
        <v>140</v>
      </c>
    </row>
    <row r="438" spans="1:26">
      <c r="C438" s="134" t="s">
        <v>2415</v>
      </c>
      <c r="D438" s="106" t="s">
        <v>140</v>
      </c>
    </row>
    <row r="439" spans="1:26">
      <c r="C439" s="134" t="s">
        <v>2426</v>
      </c>
      <c r="D439" s="106" t="s">
        <v>140</v>
      </c>
    </row>
    <row r="440" spans="1:26">
      <c r="A440"/>
      <c r="B440"/>
      <c r="C440" s="134" t="s">
        <v>2416</v>
      </c>
      <c r="D440" s="106" t="s">
        <v>140</v>
      </c>
      <c r="F440"/>
      <c r="G440"/>
      <c r="H440"/>
      <c r="I440"/>
      <c r="J440"/>
      <c r="K440"/>
      <c r="L440"/>
      <c r="M440"/>
      <c r="N440"/>
      <c r="O440"/>
      <c r="P440"/>
      <c r="Q440"/>
      <c r="R440"/>
      <c r="S440"/>
      <c r="T440"/>
      <c r="U440"/>
      <c r="V440"/>
      <c r="W440"/>
      <c r="X440"/>
      <c r="Y440"/>
      <c r="Z440"/>
    </row>
    <row r="441" spans="1:26">
      <c r="A441"/>
      <c r="B441"/>
      <c r="C441" s="134" t="s">
        <v>2417</v>
      </c>
      <c r="D441" s="106" t="s">
        <v>140</v>
      </c>
      <c r="F441"/>
      <c r="G441"/>
      <c r="H441"/>
      <c r="I441"/>
      <c r="J441"/>
      <c r="K441"/>
      <c r="L441"/>
      <c r="M441"/>
      <c r="N441"/>
      <c r="O441"/>
      <c r="P441"/>
      <c r="Q441"/>
      <c r="R441"/>
      <c r="S441"/>
      <c r="T441"/>
      <c r="U441"/>
      <c r="V441"/>
      <c r="W441"/>
      <c r="X441"/>
      <c r="Y441"/>
      <c r="Z441"/>
    </row>
    <row r="442" spans="1:26">
      <c r="A442"/>
      <c r="B442"/>
      <c r="C442" s="134" t="s">
        <v>2418</v>
      </c>
      <c r="D442" s="106" t="s">
        <v>140</v>
      </c>
      <c r="F442"/>
      <c r="G442"/>
      <c r="H442"/>
      <c r="I442"/>
      <c r="J442"/>
      <c r="K442"/>
      <c r="L442"/>
      <c r="M442"/>
      <c r="N442"/>
      <c r="O442"/>
      <c r="P442"/>
      <c r="Q442"/>
      <c r="R442"/>
      <c r="S442"/>
      <c r="T442"/>
      <c r="U442"/>
      <c r="V442"/>
      <c r="W442"/>
      <c r="X442"/>
      <c r="Y442"/>
      <c r="Z442"/>
    </row>
    <row r="443" spans="1:26">
      <c r="A443"/>
      <c r="B443"/>
      <c r="C443" s="134" t="s">
        <v>2427</v>
      </c>
      <c r="D443" s="106" t="s">
        <v>140</v>
      </c>
      <c r="F443"/>
      <c r="G443"/>
      <c r="H443"/>
      <c r="I443"/>
      <c r="J443"/>
      <c r="K443"/>
      <c r="L443"/>
      <c r="M443"/>
      <c r="N443"/>
      <c r="O443"/>
      <c r="P443"/>
      <c r="Q443"/>
      <c r="R443"/>
      <c r="S443"/>
      <c r="T443"/>
      <c r="U443"/>
      <c r="V443"/>
      <c r="W443"/>
      <c r="X443"/>
      <c r="Y443"/>
      <c r="Z443"/>
    </row>
    <row r="444" spans="1:26">
      <c r="A444"/>
      <c r="B444"/>
      <c r="C444" s="134" t="s">
        <v>2428</v>
      </c>
      <c r="D444" s="106" t="s">
        <v>140</v>
      </c>
      <c r="F444"/>
      <c r="G444"/>
      <c r="H444"/>
      <c r="I444"/>
      <c r="J444"/>
      <c r="K444"/>
      <c r="L444"/>
      <c r="M444"/>
      <c r="N444"/>
      <c r="O444"/>
      <c r="P444"/>
      <c r="Q444"/>
      <c r="R444"/>
      <c r="S444"/>
      <c r="T444"/>
      <c r="U444"/>
      <c r="V444"/>
      <c r="W444"/>
      <c r="X444"/>
      <c r="Y444"/>
      <c r="Z444"/>
    </row>
    <row r="445" spans="1:26">
      <c r="A445"/>
      <c r="B445"/>
      <c r="C445" s="134" t="s">
        <v>2429</v>
      </c>
      <c r="D445" s="106" t="s">
        <v>140</v>
      </c>
      <c r="F445"/>
      <c r="G445"/>
      <c r="H445"/>
      <c r="I445"/>
      <c r="J445"/>
      <c r="K445"/>
      <c r="L445"/>
      <c r="M445"/>
      <c r="N445"/>
      <c r="O445"/>
      <c r="P445"/>
      <c r="Q445"/>
      <c r="R445"/>
      <c r="S445"/>
      <c r="T445"/>
      <c r="U445"/>
      <c r="V445"/>
      <c r="W445"/>
      <c r="X445"/>
      <c r="Y445"/>
      <c r="Z445"/>
    </row>
    <row r="446" spans="1:26">
      <c r="A446"/>
      <c r="B446"/>
      <c r="C446" s="134" t="s">
        <v>2486</v>
      </c>
      <c r="D446" s="106" t="s">
        <v>140</v>
      </c>
      <c r="F446"/>
      <c r="G446"/>
      <c r="H446"/>
      <c r="I446"/>
      <c r="J446"/>
      <c r="K446"/>
      <c r="L446"/>
      <c r="M446"/>
      <c r="N446"/>
      <c r="O446"/>
      <c r="P446"/>
      <c r="Q446"/>
      <c r="R446"/>
      <c r="S446"/>
      <c r="T446"/>
      <c r="U446"/>
      <c r="V446"/>
      <c r="W446"/>
      <c r="X446"/>
      <c r="Y446"/>
      <c r="Z446"/>
    </row>
    <row r="447" spans="1:26">
      <c r="A447"/>
      <c r="B447"/>
      <c r="C447" s="134" t="s">
        <v>2525</v>
      </c>
      <c r="D447" s="106" t="s">
        <v>140</v>
      </c>
      <c r="F447"/>
      <c r="G447"/>
      <c r="H447"/>
      <c r="I447"/>
      <c r="J447"/>
      <c r="K447"/>
      <c r="L447"/>
      <c r="M447"/>
      <c r="N447"/>
      <c r="O447"/>
      <c r="P447"/>
      <c r="Q447"/>
      <c r="R447"/>
      <c r="S447"/>
      <c r="T447"/>
      <c r="U447"/>
      <c r="V447"/>
      <c r="W447"/>
      <c r="X447"/>
      <c r="Y447"/>
      <c r="Z447"/>
    </row>
    <row r="448" spans="1:26">
      <c r="A448"/>
      <c r="B448"/>
      <c r="C448" s="134" t="s">
        <v>2526</v>
      </c>
      <c r="D448" s="106" t="s">
        <v>140</v>
      </c>
      <c r="F448"/>
      <c r="G448"/>
      <c r="H448"/>
      <c r="I448"/>
      <c r="J448"/>
      <c r="K448"/>
      <c r="L448"/>
      <c r="M448"/>
      <c r="N448"/>
      <c r="O448"/>
      <c r="P448"/>
      <c r="Q448"/>
      <c r="R448"/>
      <c r="S448"/>
      <c r="T448"/>
      <c r="U448"/>
      <c r="V448"/>
      <c r="W448"/>
      <c r="X448"/>
      <c r="Y448"/>
      <c r="Z448"/>
    </row>
    <row r="449" spans="1:26">
      <c r="A449"/>
      <c r="B449"/>
      <c r="C449" s="134" t="s">
        <v>2422</v>
      </c>
      <c r="D449" s="106" t="s">
        <v>140</v>
      </c>
      <c r="F449"/>
      <c r="G449"/>
      <c r="H449"/>
      <c r="I449"/>
      <c r="J449"/>
      <c r="K449"/>
      <c r="L449"/>
      <c r="M449"/>
      <c r="N449"/>
      <c r="O449"/>
      <c r="P449"/>
      <c r="Q449"/>
      <c r="R449"/>
      <c r="S449"/>
      <c r="T449"/>
      <c r="U449"/>
      <c r="V449"/>
      <c r="W449"/>
      <c r="X449"/>
      <c r="Y449"/>
      <c r="Z449"/>
    </row>
    <row r="450" spans="1:26">
      <c r="A450"/>
      <c r="B450"/>
      <c r="C450" s="134" t="s">
        <v>2487</v>
      </c>
      <c r="D450" s="106" t="s">
        <v>140</v>
      </c>
      <c r="F450"/>
      <c r="G450"/>
      <c r="H450"/>
      <c r="I450"/>
      <c r="J450"/>
      <c r="K450"/>
      <c r="L450"/>
      <c r="M450"/>
      <c r="N450"/>
      <c r="O450"/>
      <c r="P450"/>
      <c r="Q450"/>
      <c r="R450"/>
      <c r="S450"/>
      <c r="T450"/>
      <c r="U450"/>
      <c r="V450"/>
      <c r="W450"/>
      <c r="X450"/>
      <c r="Y450"/>
      <c r="Z450"/>
    </row>
    <row r="451" spans="1:26">
      <c r="A451"/>
      <c r="B451"/>
      <c r="C451" s="134" t="s">
        <v>2488</v>
      </c>
      <c r="D451" s="106" t="s">
        <v>140</v>
      </c>
      <c r="F451"/>
      <c r="G451"/>
      <c r="H451"/>
      <c r="I451"/>
      <c r="J451"/>
      <c r="K451"/>
      <c r="L451"/>
      <c r="M451"/>
      <c r="N451"/>
      <c r="O451"/>
      <c r="P451"/>
      <c r="Q451"/>
      <c r="R451"/>
      <c r="S451"/>
      <c r="T451"/>
      <c r="U451"/>
      <c r="V451"/>
      <c r="W451"/>
      <c r="X451"/>
      <c r="Y451"/>
      <c r="Z451"/>
    </row>
    <row r="452" spans="1:26">
      <c r="A452"/>
      <c r="B452"/>
      <c r="C452" s="134" t="s">
        <v>2432</v>
      </c>
      <c r="D452" s="106" t="s">
        <v>140</v>
      </c>
      <c r="F452"/>
      <c r="G452"/>
      <c r="H452"/>
      <c r="I452"/>
      <c r="J452"/>
      <c r="K452"/>
      <c r="L452"/>
      <c r="M452"/>
      <c r="N452"/>
      <c r="O452"/>
      <c r="P452"/>
      <c r="Q452"/>
      <c r="R452"/>
      <c r="S452"/>
      <c r="T452"/>
      <c r="U452"/>
      <c r="V452"/>
      <c r="W452"/>
      <c r="X452"/>
      <c r="Y452"/>
      <c r="Z452"/>
    </row>
    <row r="453" spans="1:26">
      <c r="A453"/>
      <c r="B453"/>
      <c r="C453" s="134" t="s">
        <v>2433</v>
      </c>
      <c r="D453" s="106" t="s">
        <v>140</v>
      </c>
      <c r="F453"/>
      <c r="G453"/>
      <c r="H453"/>
      <c r="I453"/>
      <c r="J453"/>
      <c r="K453"/>
      <c r="L453"/>
      <c r="M453"/>
      <c r="N453"/>
      <c r="O453"/>
      <c r="P453"/>
      <c r="Q453"/>
      <c r="R453"/>
      <c r="S453"/>
      <c r="T453"/>
      <c r="U453"/>
      <c r="V453"/>
      <c r="W453"/>
      <c r="X453"/>
      <c r="Y453"/>
      <c r="Z453"/>
    </row>
    <row r="454" spans="1:26">
      <c r="A454"/>
      <c r="B454"/>
      <c r="C454" s="134" t="s">
        <v>2434</v>
      </c>
      <c r="D454" s="106" t="s">
        <v>140</v>
      </c>
      <c r="F454"/>
      <c r="G454"/>
      <c r="H454"/>
      <c r="I454"/>
      <c r="J454"/>
      <c r="K454"/>
      <c r="L454"/>
      <c r="M454"/>
      <c r="N454"/>
      <c r="O454"/>
      <c r="P454"/>
      <c r="Q454"/>
      <c r="R454"/>
      <c r="S454"/>
      <c r="T454"/>
      <c r="U454"/>
      <c r="V454"/>
      <c r="W454"/>
      <c r="X454"/>
      <c r="Y454"/>
      <c r="Z454"/>
    </row>
    <row r="455" spans="1:26">
      <c r="A455"/>
      <c r="B455"/>
      <c r="C455" s="134" t="s">
        <v>2436</v>
      </c>
      <c r="D455" s="106" t="s">
        <v>140</v>
      </c>
      <c r="F455"/>
      <c r="G455"/>
      <c r="H455"/>
      <c r="I455"/>
      <c r="J455"/>
      <c r="K455"/>
      <c r="L455"/>
      <c r="M455"/>
      <c r="N455"/>
      <c r="O455"/>
      <c r="P455"/>
      <c r="Q455"/>
      <c r="R455"/>
      <c r="S455"/>
      <c r="T455"/>
      <c r="U455"/>
      <c r="V455"/>
      <c r="W455"/>
      <c r="X455"/>
      <c r="Y455"/>
      <c r="Z455"/>
    </row>
    <row r="456" spans="1:26">
      <c r="A456"/>
      <c r="B456"/>
      <c r="C456" s="134" t="s">
        <v>2437</v>
      </c>
      <c r="D456" s="106" t="s">
        <v>140</v>
      </c>
      <c r="F456"/>
      <c r="G456"/>
      <c r="H456"/>
      <c r="I456"/>
      <c r="J456"/>
      <c r="K456"/>
      <c r="L456"/>
      <c r="M456"/>
      <c r="N456"/>
      <c r="O456"/>
      <c r="P456"/>
      <c r="Q456"/>
      <c r="R456"/>
      <c r="S456"/>
      <c r="T456"/>
      <c r="U456"/>
      <c r="V456"/>
      <c r="W456"/>
      <c r="X456"/>
      <c r="Y456"/>
      <c r="Z456"/>
    </row>
    <row r="457" spans="1:26" ht="153">
      <c r="B457" s="50" t="s">
        <v>2489</v>
      </c>
      <c r="C457" s="153" t="s">
        <v>2590</v>
      </c>
      <c r="D457" s="106" t="s">
        <v>140</v>
      </c>
      <c r="E457" s="105">
        <v>212</v>
      </c>
    </row>
    <row r="458" spans="1:26">
      <c r="C458" s="134" t="s">
        <v>2415</v>
      </c>
      <c r="D458" s="106" t="s">
        <v>140</v>
      </c>
    </row>
    <row r="459" spans="1:26">
      <c r="A459"/>
      <c r="B459"/>
      <c r="C459" s="134" t="s">
        <v>2416</v>
      </c>
      <c r="D459" s="106" t="s">
        <v>140</v>
      </c>
      <c r="F459"/>
      <c r="G459"/>
      <c r="H459"/>
      <c r="I459"/>
      <c r="J459"/>
      <c r="K459"/>
      <c r="L459"/>
      <c r="M459"/>
      <c r="N459"/>
      <c r="O459"/>
      <c r="P459"/>
      <c r="Q459"/>
      <c r="R459"/>
      <c r="S459"/>
      <c r="T459"/>
      <c r="U459"/>
      <c r="V459"/>
      <c r="W459"/>
      <c r="X459"/>
      <c r="Y459"/>
      <c r="Z459"/>
    </row>
    <row r="460" spans="1:26">
      <c r="A460"/>
      <c r="B460"/>
      <c r="C460" s="134" t="s">
        <v>2417</v>
      </c>
      <c r="D460" s="106" t="s">
        <v>140</v>
      </c>
      <c r="F460"/>
      <c r="G460"/>
      <c r="H460"/>
      <c r="I460"/>
      <c r="J460"/>
      <c r="K460"/>
      <c r="L460"/>
      <c r="M460"/>
      <c r="N460"/>
      <c r="O460"/>
      <c r="P460"/>
      <c r="Q460"/>
      <c r="R460"/>
      <c r="S460"/>
      <c r="T460"/>
      <c r="U460"/>
      <c r="V460"/>
      <c r="W460"/>
      <c r="X460"/>
      <c r="Y460"/>
      <c r="Z460"/>
    </row>
    <row r="461" spans="1:26">
      <c r="A461"/>
      <c r="B461"/>
      <c r="C461" s="134" t="s">
        <v>2418</v>
      </c>
      <c r="D461" s="106" t="s">
        <v>140</v>
      </c>
      <c r="F461"/>
      <c r="G461"/>
      <c r="H461"/>
      <c r="I461"/>
      <c r="J461"/>
      <c r="K461"/>
      <c r="L461"/>
      <c r="M461"/>
      <c r="N461"/>
      <c r="O461"/>
      <c r="P461"/>
      <c r="Q461"/>
      <c r="R461"/>
      <c r="S461"/>
      <c r="T461"/>
      <c r="U461"/>
      <c r="V461"/>
      <c r="W461"/>
      <c r="X461"/>
      <c r="Y461"/>
      <c r="Z461"/>
    </row>
    <row r="462" spans="1:26">
      <c r="A462"/>
      <c r="B462"/>
      <c r="C462" s="134" t="s">
        <v>2486</v>
      </c>
      <c r="D462" s="106" t="s">
        <v>140</v>
      </c>
      <c r="F462"/>
      <c r="G462"/>
      <c r="H462"/>
      <c r="I462"/>
      <c r="J462"/>
      <c r="K462"/>
      <c r="L462"/>
      <c r="M462"/>
      <c r="N462"/>
      <c r="O462"/>
      <c r="P462"/>
      <c r="Q462"/>
      <c r="R462"/>
      <c r="S462"/>
      <c r="T462"/>
      <c r="U462"/>
      <c r="V462"/>
      <c r="W462"/>
      <c r="X462"/>
      <c r="Y462"/>
      <c r="Z462"/>
    </row>
    <row r="463" spans="1:26">
      <c r="A463"/>
      <c r="B463"/>
      <c r="C463" s="134" t="s">
        <v>2525</v>
      </c>
      <c r="D463" s="106" t="s">
        <v>140</v>
      </c>
      <c r="F463"/>
      <c r="G463"/>
      <c r="H463"/>
      <c r="I463"/>
      <c r="J463"/>
      <c r="K463"/>
      <c r="L463"/>
      <c r="M463"/>
      <c r="N463"/>
      <c r="O463"/>
      <c r="P463"/>
      <c r="Q463"/>
      <c r="R463"/>
      <c r="S463"/>
      <c r="T463"/>
      <c r="U463"/>
      <c r="V463"/>
      <c r="W463"/>
      <c r="X463"/>
      <c r="Y463"/>
      <c r="Z463"/>
    </row>
    <row r="464" spans="1:26">
      <c r="A464"/>
      <c r="B464"/>
      <c r="C464" s="134" t="s">
        <v>2421</v>
      </c>
      <c r="D464" s="106" t="s">
        <v>140</v>
      </c>
      <c r="F464"/>
      <c r="G464"/>
      <c r="H464"/>
      <c r="I464"/>
      <c r="J464"/>
      <c r="K464"/>
      <c r="L464"/>
      <c r="M464"/>
      <c r="N464"/>
      <c r="O464"/>
      <c r="P464"/>
      <c r="Q464"/>
      <c r="R464"/>
      <c r="S464"/>
      <c r="T464"/>
      <c r="U464"/>
      <c r="V464"/>
      <c r="W464"/>
      <c r="X464"/>
      <c r="Y464"/>
      <c r="Z464"/>
    </row>
    <row r="465" spans="1:26">
      <c r="A465"/>
      <c r="B465"/>
      <c r="C465" s="134" t="s">
        <v>2422</v>
      </c>
      <c r="D465" s="106" t="s">
        <v>140</v>
      </c>
      <c r="F465"/>
      <c r="G465"/>
      <c r="H465"/>
      <c r="I465"/>
      <c r="J465"/>
      <c r="K465"/>
      <c r="L465"/>
      <c r="M465"/>
      <c r="N465"/>
      <c r="O465"/>
      <c r="P465"/>
      <c r="Q465"/>
      <c r="R465"/>
      <c r="S465"/>
      <c r="T465"/>
      <c r="U465"/>
      <c r="V465"/>
      <c r="W465"/>
      <c r="X465"/>
      <c r="Y465"/>
      <c r="Z465"/>
    </row>
    <row r="466" spans="1:26">
      <c r="A466"/>
      <c r="B466"/>
      <c r="C466" s="134" t="s">
        <v>2487</v>
      </c>
      <c r="D466" s="106" t="s">
        <v>140</v>
      </c>
      <c r="F466"/>
      <c r="G466"/>
      <c r="H466"/>
      <c r="I466"/>
      <c r="J466"/>
      <c r="K466"/>
      <c r="L466"/>
      <c r="M466"/>
      <c r="N466"/>
      <c r="O466"/>
      <c r="P466"/>
      <c r="Q466"/>
      <c r="R466"/>
      <c r="S466"/>
      <c r="T466"/>
      <c r="U466"/>
      <c r="V466"/>
      <c r="W466"/>
      <c r="X466"/>
      <c r="Y466"/>
      <c r="Z466"/>
    </row>
    <row r="467" spans="1:26">
      <c r="A467"/>
      <c r="B467"/>
      <c r="C467" s="134" t="s">
        <v>2488</v>
      </c>
      <c r="D467" s="106" t="s">
        <v>140</v>
      </c>
      <c r="F467"/>
      <c r="G467"/>
      <c r="H467"/>
      <c r="I467"/>
      <c r="J467"/>
      <c r="K467"/>
      <c r="L467"/>
      <c r="M467"/>
      <c r="N467"/>
      <c r="O467"/>
      <c r="P467"/>
      <c r="Q467"/>
      <c r="R467"/>
      <c r="S467"/>
      <c r="T467"/>
      <c r="U467"/>
      <c r="V467"/>
      <c r="W467"/>
      <c r="X467"/>
      <c r="Y467"/>
      <c r="Z467"/>
    </row>
    <row r="468" spans="1:26">
      <c r="A468"/>
      <c r="B468"/>
      <c r="C468" s="134" t="s">
        <v>2432</v>
      </c>
      <c r="D468" s="106" t="s">
        <v>140</v>
      </c>
      <c r="F468"/>
      <c r="G468"/>
      <c r="H468"/>
      <c r="I468"/>
      <c r="J468"/>
      <c r="K468"/>
      <c r="L468"/>
      <c r="M468"/>
      <c r="N468"/>
      <c r="O468"/>
      <c r="P468"/>
      <c r="Q468"/>
      <c r="R468"/>
      <c r="S468"/>
      <c r="T468"/>
      <c r="U468"/>
      <c r="V468"/>
      <c r="W468"/>
      <c r="X468"/>
      <c r="Y468"/>
      <c r="Z468"/>
    </row>
    <row r="469" spans="1:26">
      <c r="A469"/>
      <c r="B469"/>
      <c r="C469" s="134" t="s">
        <v>2433</v>
      </c>
      <c r="D469" s="106" t="s">
        <v>140</v>
      </c>
      <c r="F469"/>
      <c r="G469"/>
      <c r="H469"/>
      <c r="I469"/>
      <c r="J469"/>
      <c r="K469"/>
      <c r="L469"/>
      <c r="M469"/>
      <c r="N469"/>
      <c r="O469"/>
      <c r="P469"/>
      <c r="Q469"/>
      <c r="R469"/>
      <c r="S469"/>
      <c r="T469"/>
      <c r="U469"/>
      <c r="V469"/>
      <c r="W469"/>
      <c r="X469"/>
      <c r="Y469"/>
      <c r="Z469"/>
    </row>
    <row r="470" spans="1:26">
      <c r="A470"/>
      <c r="B470"/>
      <c r="C470" s="134" t="s">
        <v>2434</v>
      </c>
      <c r="D470" s="106" t="s">
        <v>140</v>
      </c>
      <c r="F470"/>
      <c r="G470"/>
      <c r="H470"/>
      <c r="I470"/>
      <c r="J470"/>
      <c r="K470"/>
      <c r="L470"/>
      <c r="M470"/>
      <c r="N470"/>
      <c r="O470"/>
      <c r="P470"/>
      <c r="Q470"/>
      <c r="R470"/>
      <c r="S470"/>
      <c r="T470"/>
      <c r="U470"/>
      <c r="V470"/>
      <c r="W470"/>
      <c r="X470"/>
      <c r="Y470"/>
      <c r="Z470"/>
    </row>
    <row r="471" spans="1:26" ht="153">
      <c r="B471" s="50" t="s">
        <v>2490</v>
      </c>
      <c r="C471" s="153" t="s">
        <v>2591</v>
      </c>
      <c r="D471" s="106" t="s">
        <v>140</v>
      </c>
      <c r="E471" s="105">
        <v>95</v>
      </c>
    </row>
    <row r="472" spans="1:26">
      <c r="C472" s="134" t="s">
        <v>2425</v>
      </c>
      <c r="D472" s="106" t="s">
        <v>140</v>
      </c>
    </row>
    <row r="473" spans="1:26">
      <c r="C473" s="134" t="s">
        <v>2426</v>
      </c>
      <c r="D473" s="106" t="s">
        <v>140</v>
      </c>
    </row>
    <row r="474" spans="1:26">
      <c r="A474"/>
      <c r="B474"/>
      <c r="C474" s="134" t="s">
        <v>2427</v>
      </c>
      <c r="D474" s="106" t="s">
        <v>140</v>
      </c>
      <c r="F474"/>
      <c r="G474"/>
      <c r="H474"/>
      <c r="I474"/>
      <c r="J474"/>
      <c r="K474"/>
      <c r="L474"/>
      <c r="M474"/>
      <c r="N474"/>
      <c r="O474"/>
      <c r="P474"/>
      <c r="Q474"/>
      <c r="R474"/>
      <c r="S474"/>
      <c r="T474"/>
      <c r="U474"/>
      <c r="V474"/>
      <c r="W474"/>
      <c r="X474"/>
      <c r="Y474"/>
      <c r="Z474"/>
    </row>
    <row r="475" spans="1:26">
      <c r="A475"/>
      <c r="B475"/>
      <c r="C475" s="134" t="s">
        <v>2428</v>
      </c>
      <c r="D475" s="106" t="s">
        <v>140</v>
      </c>
      <c r="F475"/>
      <c r="G475"/>
      <c r="H475"/>
      <c r="I475"/>
      <c r="J475"/>
      <c r="K475"/>
      <c r="L475"/>
      <c r="M475"/>
      <c r="N475"/>
      <c r="O475"/>
      <c r="P475"/>
      <c r="Q475"/>
      <c r="R475"/>
      <c r="S475"/>
      <c r="T475"/>
      <c r="U475"/>
      <c r="V475"/>
      <c r="W475"/>
      <c r="X475"/>
      <c r="Y475"/>
      <c r="Z475"/>
    </row>
    <row r="476" spans="1:26">
      <c r="A476"/>
      <c r="B476"/>
      <c r="C476" s="134" t="s">
        <v>2429</v>
      </c>
      <c r="D476" s="106" t="s">
        <v>140</v>
      </c>
      <c r="F476"/>
      <c r="G476"/>
      <c r="H476"/>
      <c r="I476"/>
      <c r="J476"/>
      <c r="K476"/>
      <c r="L476"/>
      <c r="M476"/>
      <c r="N476"/>
      <c r="O476"/>
      <c r="P476"/>
      <c r="Q476"/>
      <c r="R476"/>
      <c r="S476"/>
      <c r="T476"/>
      <c r="U476"/>
      <c r="V476"/>
      <c r="W476"/>
      <c r="X476"/>
      <c r="Y476"/>
      <c r="Z476"/>
    </row>
    <row r="477" spans="1:26">
      <c r="A477"/>
      <c r="B477"/>
      <c r="C477" s="134" t="s">
        <v>2436</v>
      </c>
      <c r="D477" s="106" t="s">
        <v>140</v>
      </c>
      <c r="F477"/>
      <c r="G477"/>
      <c r="H477"/>
      <c r="I477"/>
      <c r="J477"/>
      <c r="K477"/>
      <c r="L477"/>
      <c r="M477"/>
      <c r="N477"/>
      <c r="O477"/>
      <c r="P477"/>
      <c r="Q477"/>
      <c r="R477"/>
      <c r="S477"/>
      <c r="T477"/>
      <c r="U477"/>
      <c r="V477"/>
      <c r="W477"/>
      <c r="X477"/>
      <c r="Y477"/>
      <c r="Z477"/>
    </row>
    <row r="478" spans="1:26">
      <c r="A478"/>
      <c r="B478"/>
      <c r="C478" s="134" t="s">
        <v>2437</v>
      </c>
      <c r="D478" s="106" t="s">
        <v>140</v>
      </c>
      <c r="F478"/>
      <c r="G478"/>
      <c r="H478"/>
      <c r="I478"/>
      <c r="J478"/>
      <c r="K478"/>
      <c r="L478"/>
      <c r="M478"/>
      <c r="N478"/>
      <c r="O478"/>
      <c r="P478"/>
      <c r="Q478"/>
      <c r="R478"/>
      <c r="S478"/>
      <c r="T478"/>
      <c r="U478"/>
      <c r="V478"/>
      <c r="W478"/>
      <c r="X478"/>
      <c r="Y478"/>
      <c r="Z478"/>
    </row>
    <row r="479" spans="1:26" ht="102">
      <c r="B479" s="50" t="s">
        <v>2491</v>
      </c>
      <c r="C479" s="153" t="s">
        <v>2621</v>
      </c>
      <c r="D479" s="106" t="s">
        <v>140</v>
      </c>
      <c r="E479" s="105">
        <v>177</v>
      </c>
    </row>
    <row r="480" spans="1:26">
      <c r="C480" s="134" t="s">
        <v>2425</v>
      </c>
      <c r="D480" s="106" t="s">
        <v>140</v>
      </c>
    </row>
    <row r="481" spans="1:26">
      <c r="C481" s="134" t="s">
        <v>2415</v>
      </c>
      <c r="D481" s="106" t="s">
        <v>140</v>
      </c>
    </row>
    <row r="482" spans="1:26">
      <c r="A482"/>
      <c r="B482"/>
      <c r="C482" s="134" t="s">
        <v>2416</v>
      </c>
      <c r="D482" s="106" t="s">
        <v>140</v>
      </c>
      <c r="F482"/>
      <c r="G482"/>
      <c r="H482"/>
      <c r="I482"/>
      <c r="J482"/>
      <c r="K482"/>
      <c r="L482"/>
      <c r="M482"/>
      <c r="N482"/>
      <c r="O482"/>
      <c r="P482"/>
      <c r="Q482"/>
      <c r="R482"/>
      <c r="S482"/>
      <c r="T482"/>
      <c r="U482"/>
      <c r="V482"/>
      <c r="W482"/>
      <c r="X482"/>
      <c r="Y482"/>
      <c r="Z482"/>
    </row>
    <row r="483" spans="1:26">
      <c r="A483"/>
      <c r="B483"/>
      <c r="C483" s="134" t="s">
        <v>2417</v>
      </c>
      <c r="D483" s="106" t="s">
        <v>140</v>
      </c>
      <c r="F483"/>
      <c r="G483"/>
      <c r="H483"/>
      <c r="I483"/>
      <c r="J483"/>
      <c r="K483"/>
      <c r="L483"/>
      <c r="M483"/>
      <c r="N483"/>
      <c r="O483"/>
      <c r="P483"/>
      <c r="Q483"/>
      <c r="R483"/>
      <c r="S483"/>
      <c r="T483"/>
      <c r="U483"/>
      <c r="V483"/>
      <c r="W483"/>
      <c r="X483"/>
      <c r="Y483"/>
      <c r="Z483"/>
    </row>
    <row r="484" spans="1:26">
      <c r="A484"/>
      <c r="B484"/>
      <c r="C484" s="134" t="s">
        <v>2418</v>
      </c>
      <c r="D484" s="106" t="s">
        <v>140</v>
      </c>
      <c r="F484"/>
      <c r="G484"/>
      <c r="H484"/>
      <c r="I484"/>
      <c r="J484"/>
      <c r="K484"/>
      <c r="L484"/>
      <c r="M484"/>
      <c r="N484"/>
      <c r="O484"/>
      <c r="P484"/>
      <c r="Q484"/>
      <c r="R484"/>
      <c r="S484"/>
      <c r="T484"/>
      <c r="U484"/>
      <c r="V484"/>
      <c r="W484"/>
      <c r="X484"/>
      <c r="Y484"/>
      <c r="Z484"/>
    </row>
    <row r="485" spans="1:26">
      <c r="A485"/>
      <c r="B485"/>
      <c r="C485" s="134" t="s">
        <v>2427</v>
      </c>
      <c r="D485" s="106" t="s">
        <v>140</v>
      </c>
      <c r="F485"/>
      <c r="G485"/>
      <c r="H485"/>
      <c r="I485"/>
      <c r="J485"/>
      <c r="K485"/>
      <c r="L485"/>
      <c r="M485"/>
      <c r="N485"/>
      <c r="O485"/>
      <c r="P485"/>
      <c r="Q485"/>
      <c r="R485"/>
      <c r="S485"/>
      <c r="T485"/>
      <c r="U485"/>
      <c r="V485"/>
      <c r="W485"/>
      <c r="X485"/>
      <c r="Y485"/>
      <c r="Z485"/>
    </row>
    <row r="486" spans="1:26">
      <c r="A486"/>
      <c r="B486"/>
      <c r="C486" s="134" t="s">
        <v>2428</v>
      </c>
      <c r="D486" s="106" t="s">
        <v>140</v>
      </c>
      <c r="F486"/>
      <c r="G486"/>
      <c r="H486"/>
      <c r="I486"/>
      <c r="J486"/>
      <c r="K486"/>
      <c r="L486"/>
      <c r="M486"/>
      <c r="N486"/>
      <c r="O486"/>
      <c r="P486"/>
      <c r="Q486"/>
      <c r="R486"/>
      <c r="S486"/>
      <c r="T486"/>
      <c r="U486"/>
      <c r="V486"/>
      <c r="W486"/>
      <c r="X486"/>
      <c r="Y486"/>
      <c r="Z486"/>
    </row>
    <row r="487" spans="1:26">
      <c r="A487"/>
      <c r="B487"/>
      <c r="C487" s="134" t="s">
        <v>2429</v>
      </c>
      <c r="D487" s="106" t="s">
        <v>140</v>
      </c>
      <c r="F487"/>
      <c r="G487"/>
      <c r="H487"/>
      <c r="I487"/>
      <c r="J487"/>
      <c r="K487"/>
      <c r="L487"/>
      <c r="M487"/>
      <c r="N487"/>
      <c r="O487"/>
      <c r="P487"/>
      <c r="Q487"/>
      <c r="R487"/>
      <c r="S487"/>
      <c r="T487"/>
      <c r="U487"/>
      <c r="V487"/>
      <c r="W487"/>
      <c r="X487"/>
      <c r="Y487"/>
      <c r="Z487"/>
    </row>
    <row r="488" spans="1:26">
      <c r="A488"/>
      <c r="B488"/>
      <c r="C488" s="134" t="s">
        <v>2419</v>
      </c>
      <c r="D488" s="106" t="s">
        <v>140</v>
      </c>
      <c r="F488"/>
      <c r="G488"/>
      <c r="H488"/>
      <c r="I488"/>
      <c r="J488"/>
      <c r="K488"/>
      <c r="L488"/>
      <c r="M488"/>
      <c r="N488"/>
      <c r="O488"/>
      <c r="P488"/>
      <c r="Q488"/>
      <c r="R488"/>
      <c r="S488"/>
      <c r="T488"/>
      <c r="U488"/>
      <c r="V488"/>
      <c r="W488"/>
      <c r="X488"/>
      <c r="Y488"/>
      <c r="Z488"/>
    </row>
    <row r="489" spans="1:26">
      <c r="A489"/>
      <c r="B489"/>
      <c r="C489" s="134" t="s">
        <v>2420</v>
      </c>
      <c r="D489" s="106" t="s">
        <v>140</v>
      </c>
      <c r="F489"/>
      <c r="G489"/>
      <c r="H489"/>
      <c r="I489"/>
      <c r="J489"/>
      <c r="K489"/>
      <c r="L489"/>
      <c r="M489"/>
      <c r="N489"/>
      <c r="O489"/>
      <c r="P489"/>
      <c r="Q489"/>
      <c r="R489"/>
      <c r="S489"/>
      <c r="T489"/>
      <c r="U489"/>
      <c r="V489"/>
      <c r="W489"/>
      <c r="X489"/>
      <c r="Y489"/>
      <c r="Z489"/>
    </row>
    <row r="490" spans="1:26">
      <c r="A490"/>
      <c r="B490"/>
      <c r="C490" s="134" t="s">
        <v>2421</v>
      </c>
      <c r="D490" s="106" t="s">
        <v>140</v>
      </c>
      <c r="F490"/>
      <c r="G490"/>
      <c r="H490"/>
      <c r="I490"/>
      <c r="J490"/>
      <c r="K490"/>
      <c r="L490"/>
      <c r="M490"/>
      <c r="N490"/>
      <c r="O490"/>
      <c r="P490"/>
      <c r="Q490"/>
      <c r="R490"/>
      <c r="S490"/>
      <c r="T490"/>
      <c r="U490"/>
      <c r="V490"/>
      <c r="W490"/>
      <c r="X490"/>
      <c r="Y490"/>
      <c r="Z490"/>
    </row>
    <row r="491" spans="1:26">
      <c r="A491"/>
      <c r="B491"/>
      <c r="C491" s="134" t="s">
        <v>2422</v>
      </c>
      <c r="D491" s="106" t="s">
        <v>140</v>
      </c>
      <c r="F491"/>
      <c r="G491"/>
      <c r="H491"/>
      <c r="I491"/>
      <c r="J491"/>
      <c r="K491"/>
      <c r="L491"/>
      <c r="M491"/>
      <c r="N491"/>
      <c r="O491"/>
      <c r="P491"/>
      <c r="Q491"/>
      <c r="R491"/>
      <c r="S491"/>
      <c r="T491"/>
      <c r="U491"/>
      <c r="V491"/>
      <c r="W491"/>
      <c r="X491"/>
      <c r="Y491"/>
      <c r="Z491"/>
    </row>
    <row r="492" spans="1:26">
      <c r="A492"/>
      <c r="B492"/>
      <c r="C492" s="134" t="s">
        <v>2423</v>
      </c>
      <c r="D492" s="106" t="s">
        <v>140</v>
      </c>
      <c r="F492"/>
      <c r="G492"/>
      <c r="H492"/>
      <c r="I492"/>
      <c r="J492"/>
      <c r="K492"/>
      <c r="L492"/>
      <c r="M492"/>
      <c r="N492"/>
      <c r="O492"/>
      <c r="P492"/>
      <c r="Q492"/>
      <c r="R492"/>
      <c r="S492"/>
      <c r="T492"/>
      <c r="U492"/>
      <c r="V492"/>
      <c r="W492"/>
      <c r="X492"/>
      <c r="Y492"/>
      <c r="Z492"/>
    </row>
    <row r="493" spans="1:26">
      <c r="A493"/>
      <c r="B493"/>
      <c r="C493" s="134" t="s">
        <v>2430</v>
      </c>
      <c r="D493" s="106" t="s">
        <v>140</v>
      </c>
      <c r="F493"/>
      <c r="G493"/>
      <c r="H493"/>
      <c r="I493"/>
      <c r="J493"/>
      <c r="K493"/>
      <c r="L493"/>
      <c r="M493"/>
      <c r="N493"/>
      <c r="O493"/>
      <c r="P493"/>
      <c r="Q493"/>
      <c r="R493"/>
      <c r="S493"/>
      <c r="T493"/>
      <c r="U493"/>
      <c r="V493"/>
      <c r="W493"/>
      <c r="X493"/>
      <c r="Y493"/>
      <c r="Z493"/>
    </row>
    <row r="494" spans="1:26">
      <c r="A494"/>
      <c r="B494"/>
      <c r="C494" s="134" t="s">
        <v>2436</v>
      </c>
      <c r="D494" s="106" t="s">
        <v>140</v>
      </c>
      <c r="F494"/>
      <c r="G494"/>
      <c r="H494"/>
      <c r="I494"/>
      <c r="J494"/>
      <c r="K494"/>
      <c r="L494"/>
      <c r="M494"/>
      <c r="N494"/>
      <c r="O494"/>
      <c r="P494"/>
      <c r="Q494"/>
      <c r="R494"/>
      <c r="S494"/>
      <c r="T494"/>
      <c r="U494"/>
      <c r="V494"/>
      <c r="W494"/>
      <c r="X494"/>
      <c r="Y494"/>
      <c r="Z494"/>
    </row>
    <row r="495" spans="1:26">
      <c r="A495"/>
      <c r="B495"/>
      <c r="C495" s="134" t="s">
        <v>2437</v>
      </c>
      <c r="D495" s="106" t="s">
        <v>140</v>
      </c>
      <c r="F495"/>
      <c r="G495"/>
      <c r="H495"/>
      <c r="I495"/>
      <c r="J495"/>
      <c r="K495"/>
      <c r="L495"/>
      <c r="M495"/>
      <c r="N495"/>
      <c r="O495"/>
      <c r="P495"/>
      <c r="Q495"/>
      <c r="R495"/>
      <c r="S495"/>
      <c r="T495"/>
      <c r="U495"/>
      <c r="V495"/>
      <c r="W495"/>
      <c r="X495"/>
      <c r="Y495"/>
      <c r="Z495"/>
    </row>
    <row r="496" spans="1:26" ht="63.75">
      <c r="B496" s="50" t="s">
        <v>2492</v>
      </c>
      <c r="C496" s="134" t="s">
        <v>2592</v>
      </c>
      <c r="D496" s="106" t="s">
        <v>140</v>
      </c>
      <c r="E496" s="105">
        <v>260</v>
      </c>
    </row>
    <row r="497" spans="1:26">
      <c r="C497" s="134" t="s">
        <v>2493</v>
      </c>
      <c r="D497" s="106" t="s">
        <v>140</v>
      </c>
    </row>
    <row r="498" spans="1:26">
      <c r="C498" s="134" t="s">
        <v>2415</v>
      </c>
      <c r="D498" s="106" t="s">
        <v>140</v>
      </c>
    </row>
    <row r="499" spans="1:26">
      <c r="C499" s="134" t="s">
        <v>2494</v>
      </c>
      <c r="D499" s="106" t="s">
        <v>140</v>
      </c>
    </row>
    <row r="500" spans="1:26">
      <c r="A500"/>
      <c r="B500"/>
      <c r="C500" s="134" t="s">
        <v>2484</v>
      </c>
      <c r="D500" s="106" t="s">
        <v>140</v>
      </c>
      <c r="F500"/>
      <c r="G500"/>
      <c r="H500"/>
      <c r="I500"/>
      <c r="J500"/>
      <c r="K500"/>
      <c r="L500"/>
      <c r="M500"/>
      <c r="N500"/>
      <c r="O500"/>
      <c r="P500"/>
      <c r="Q500"/>
      <c r="R500"/>
      <c r="S500"/>
      <c r="T500"/>
      <c r="U500"/>
      <c r="V500"/>
      <c r="W500"/>
      <c r="X500"/>
      <c r="Y500"/>
      <c r="Z500"/>
    </row>
    <row r="501" spans="1:26">
      <c r="A501"/>
      <c r="B501"/>
      <c r="C501" s="134" t="s">
        <v>2417</v>
      </c>
      <c r="D501" s="106" t="s">
        <v>140</v>
      </c>
      <c r="F501"/>
      <c r="G501"/>
      <c r="H501"/>
      <c r="I501"/>
      <c r="J501"/>
      <c r="K501"/>
      <c r="L501"/>
      <c r="M501"/>
      <c r="N501"/>
      <c r="O501"/>
      <c r="P501"/>
      <c r="Q501"/>
      <c r="R501"/>
      <c r="S501"/>
      <c r="T501"/>
      <c r="U501"/>
      <c r="V501"/>
      <c r="W501"/>
      <c r="X501"/>
      <c r="Y501"/>
      <c r="Z501"/>
    </row>
    <row r="502" spans="1:26">
      <c r="A502"/>
      <c r="B502"/>
      <c r="C502" s="134" t="s">
        <v>2418</v>
      </c>
      <c r="D502" s="106" t="s">
        <v>140</v>
      </c>
      <c r="F502"/>
      <c r="G502"/>
      <c r="H502"/>
      <c r="I502"/>
      <c r="J502"/>
      <c r="K502"/>
      <c r="L502"/>
      <c r="M502"/>
      <c r="N502"/>
      <c r="O502"/>
      <c r="P502"/>
      <c r="Q502"/>
      <c r="R502"/>
      <c r="S502"/>
      <c r="T502"/>
      <c r="U502"/>
      <c r="V502"/>
      <c r="W502"/>
      <c r="X502"/>
      <c r="Y502"/>
      <c r="Z502"/>
    </row>
    <row r="503" spans="1:26">
      <c r="A503"/>
      <c r="B503"/>
      <c r="C503" s="134" t="s">
        <v>2428</v>
      </c>
      <c r="D503" s="106" t="s">
        <v>140</v>
      </c>
      <c r="F503"/>
      <c r="G503"/>
      <c r="H503"/>
      <c r="I503"/>
      <c r="J503"/>
      <c r="K503"/>
      <c r="L503"/>
      <c r="M503"/>
      <c r="N503"/>
      <c r="O503"/>
      <c r="P503"/>
      <c r="Q503"/>
      <c r="R503"/>
      <c r="S503"/>
      <c r="T503"/>
      <c r="U503"/>
      <c r="V503"/>
      <c r="W503"/>
      <c r="X503"/>
      <c r="Y503"/>
      <c r="Z503"/>
    </row>
    <row r="504" spans="1:26">
      <c r="A504"/>
      <c r="B504"/>
      <c r="C504" s="134" t="s">
        <v>2495</v>
      </c>
      <c r="D504" s="106" t="s">
        <v>140</v>
      </c>
      <c r="F504"/>
      <c r="G504"/>
      <c r="H504"/>
      <c r="I504"/>
      <c r="J504"/>
      <c r="K504"/>
      <c r="L504"/>
      <c r="M504"/>
      <c r="N504"/>
      <c r="O504"/>
      <c r="P504"/>
      <c r="Q504"/>
      <c r="R504"/>
      <c r="S504"/>
      <c r="T504"/>
      <c r="U504"/>
      <c r="V504"/>
      <c r="W504"/>
      <c r="X504"/>
      <c r="Y504"/>
      <c r="Z504"/>
    </row>
    <row r="505" spans="1:26">
      <c r="A505"/>
      <c r="B505"/>
      <c r="C505" s="134" t="s">
        <v>2421</v>
      </c>
      <c r="D505" s="106" t="s">
        <v>140</v>
      </c>
      <c r="F505"/>
      <c r="G505"/>
      <c r="H505"/>
      <c r="I505"/>
      <c r="J505"/>
      <c r="K505"/>
      <c r="L505"/>
      <c r="M505"/>
      <c r="N505"/>
      <c r="O505"/>
      <c r="P505"/>
      <c r="Q505"/>
      <c r="R505"/>
      <c r="S505"/>
      <c r="T505"/>
      <c r="U505"/>
      <c r="V505"/>
      <c r="W505"/>
      <c r="X505"/>
      <c r="Y505"/>
      <c r="Z505"/>
    </row>
    <row r="506" spans="1:26">
      <c r="A506"/>
      <c r="B506"/>
      <c r="C506" s="134" t="s">
        <v>2527</v>
      </c>
      <c r="D506" s="106" t="s">
        <v>140</v>
      </c>
      <c r="F506"/>
      <c r="G506"/>
      <c r="H506"/>
      <c r="I506"/>
      <c r="J506"/>
      <c r="K506"/>
      <c r="L506"/>
      <c r="M506"/>
      <c r="N506"/>
      <c r="O506"/>
      <c r="P506"/>
      <c r="Q506"/>
      <c r="R506"/>
      <c r="S506"/>
      <c r="T506"/>
      <c r="U506"/>
      <c r="V506"/>
      <c r="W506"/>
      <c r="X506"/>
      <c r="Y506"/>
      <c r="Z506"/>
    </row>
    <row r="507" spans="1:26">
      <c r="A507"/>
      <c r="B507"/>
      <c r="C507" s="134" t="s">
        <v>2496</v>
      </c>
      <c r="D507" s="106" t="s">
        <v>140</v>
      </c>
      <c r="F507"/>
      <c r="G507"/>
      <c r="H507"/>
      <c r="I507"/>
      <c r="J507"/>
      <c r="K507"/>
      <c r="L507"/>
      <c r="M507"/>
      <c r="N507"/>
      <c r="O507"/>
      <c r="P507"/>
      <c r="Q507"/>
      <c r="R507"/>
      <c r="S507"/>
      <c r="T507"/>
      <c r="U507"/>
      <c r="V507"/>
      <c r="W507"/>
      <c r="X507"/>
      <c r="Y507"/>
      <c r="Z507"/>
    </row>
    <row r="508" spans="1:26">
      <c r="A508"/>
      <c r="B508"/>
      <c r="C508" s="134" t="s">
        <v>2497</v>
      </c>
      <c r="D508" s="106" t="s">
        <v>140</v>
      </c>
      <c r="F508"/>
      <c r="G508"/>
      <c r="H508"/>
      <c r="I508"/>
      <c r="J508"/>
      <c r="K508"/>
      <c r="L508"/>
      <c r="M508"/>
      <c r="N508"/>
      <c r="O508"/>
      <c r="P508"/>
      <c r="Q508"/>
      <c r="R508"/>
      <c r="S508"/>
      <c r="T508"/>
      <c r="U508"/>
      <c r="V508"/>
      <c r="W508"/>
      <c r="X508"/>
      <c r="Y508"/>
      <c r="Z508"/>
    </row>
    <row r="509" spans="1:26">
      <c r="A509"/>
      <c r="B509"/>
      <c r="C509" s="134" t="s">
        <v>2498</v>
      </c>
      <c r="D509" s="106" t="s">
        <v>140</v>
      </c>
      <c r="F509"/>
      <c r="G509"/>
      <c r="H509"/>
      <c r="I509"/>
      <c r="J509"/>
      <c r="K509"/>
      <c r="L509"/>
      <c r="M509"/>
      <c r="N509"/>
      <c r="O509"/>
      <c r="P509"/>
      <c r="Q509"/>
      <c r="R509"/>
      <c r="S509"/>
      <c r="T509"/>
      <c r="U509"/>
      <c r="V509"/>
      <c r="W509"/>
      <c r="X509"/>
      <c r="Y509"/>
      <c r="Z509"/>
    </row>
    <row r="510" spans="1:26" ht="96" customHeight="1">
      <c r="B510" s="50" t="s">
        <v>2499</v>
      </c>
      <c r="C510" s="134" t="s">
        <v>2593</v>
      </c>
      <c r="D510" s="106" t="s">
        <v>140</v>
      </c>
      <c r="E510" s="105">
        <v>95</v>
      </c>
    </row>
    <row r="511" spans="1:26">
      <c r="C511" s="134" t="s">
        <v>2425</v>
      </c>
      <c r="D511" s="106" t="s">
        <v>140</v>
      </c>
    </row>
    <row r="512" spans="1:26">
      <c r="C512" s="134" t="s">
        <v>2426</v>
      </c>
      <c r="D512" s="106" t="s">
        <v>140</v>
      </c>
    </row>
    <row r="513" spans="1:26">
      <c r="A513"/>
      <c r="B513"/>
      <c r="C513" s="134" t="s">
        <v>2427</v>
      </c>
      <c r="D513" s="106" t="s">
        <v>140</v>
      </c>
      <c r="F513"/>
      <c r="G513"/>
      <c r="H513"/>
      <c r="I513"/>
      <c r="J513"/>
      <c r="K513"/>
      <c r="L513"/>
      <c r="M513"/>
      <c r="N513"/>
      <c r="O513"/>
      <c r="P513"/>
      <c r="Q513"/>
      <c r="R513"/>
      <c r="S513"/>
      <c r="T513"/>
      <c r="U513"/>
      <c r="V513"/>
      <c r="W513"/>
      <c r="X513"/>
      <c r="Y513"/>
      <c r="Z513"/>
    </row>
    <row r="514" spans="1:26">
      <c r="A514"/>
      <c r="B514"/>
      <c r="C514" s="134" t="s">
        <v>2428</v>
      </c>
      <c r="D514" s="106" t="s">
        <v>140</v>
      </c>
      <c r="F514"/>
      <c r="G514"/>
      <c r="H514"/>
      <c r="I514"/>
      <c r="J514"/>
      <c r="K514"/>
      <c r="L514"/>
      <c r="M514"/>
      <c r="N514"/>
      <c r="O514"/>
      <c r="P514"/>
      <c r="Q514"/>
      <c r="R514"/>
      <c r="S514"/>
      <c r="T514"/>
      <c r="U514"/>
      <c r="V514"/>
      <c r="W514"/>
      <c r="X514"/>
      <c r="Y514"/>
      <c r="Z514"/>
    </row>
    <row r="515" spans="1:26">
      <c r="A515"/>
      <c r="B515"/>
      <c r="C515" s="134" t="s">
        <v>2429</v>
      </c>
      <c r="D515" s="106" t="s">
        <v>140</v>
      </c>
      <c r="F515"/>
      <c r="G515"/>
      <c r="H515"/>
      <c r="I515"/>
      <c r="J515"/>
      <c r="K515"/>
      <c r="L515"/>
      <c r="M515"/>
      <c r="N515"/>
      <c r="O515"/>
      <c r="P515"/>
      <c r="Q515"/>
      <c r="R515"/>
      <c r="S515"/>
      <c r="T515"/>
      <c r="U515"/>
      <c r="V515"/>
      <c r="W515"/>
      <c r="X515"/>
      <c r="Y515"/>
      <c r="Z515"/>
    </row>
    <row r="516" spans="1:26">
      <c r="A516"/>
      <c r="B516"/>
      <c r="C516" s="134" t="s">
        <v>2436</v>
      </c>
      <c r="D516" s="106" t="s">
        <v>140</v>
      </c>
      <c r="F516"/>
      <c r="G516"/>
      <c r="H516"/>
      <c r="I516"/>
      <c r="J516"/>
      <c r="K516"/>
      <c r="L516"/>
      <c r="M516"/>
      <c r="N516"/>
      <c r="O516"/>
      <c r="P516"/>
      <c r="Q516"/>
      <c r="R516"/>
      <c r="S516"/>
      <c r="T516"/>
      <c r="U516"/>
      <c r="V516"/>
      <c r="W516"/>
      <c r="X516"/>
      <c r="Y516"/>
      <c r="Z516"/>
    </row>
    <row r="517" spans="1:26">
      <c r="A517"/>
      <c r="B517"/>
      <c r="C517" s="134" t="s">
        <v>2437</v>
      </c>
      <c r="D517" s="106" t="s">
        <v>140</v>
      </c>
      <c r="F517"/>
      <c r="G517"/>
      <c r="H517"/>
      <c r="I517"/>
      <c r="J517"/>
      <c r="K517"/>
      <c r="L517"/>
      <c r="M517"/>
      <c r="N517"/>
      <c r="O517"/>
      <c r="P517"/>
      <c r="Q517"/>
      <c r="R517"/>
      <c r="S517"/>
      <c r="T517"/>
      <c r="U517"/>
      <c r="V517"/>
      <c r="W517"/>
      <c r="X517"/>
      <c r="Y517"/>
      <c r="Z517"/>
    </row>
    <row r="518" spans="1:26" ht="153">
      <c r="B518" s="50" t="s">
        <v>2500</v>
      </c>
      <c r="C518" s="134" t="s">
        <v>2594</v>
      </c>
      <c r="D518" s="106" t="s">
        <v>140</v>
      </c>
      <c r="E518" s="105">
        <v>95</v>
      </c>
    </row>
    <row r="519" spans="1:26">
      <c r="C519" s="134" t="s">
        <v>2425</v>
      </c>
      <c r="D519" s="106" t="s">
        <v>140</v>
      </c>
    </row>
    <row r="520" spans="1:26">
      <c r="C520" s="134" t="s">
        <v>2426</v>
      </c>
      <c r="D520" s="106" t="s">
        <v>140</v>
      </c>
    </row>
    <row r="521" spans="1:26">
      <c r="A521"/>
      <c r="B521"/>
      <c r="C521" s="134" t="s">
        <v>2427</v>
      </c>
      <c r="D521" s="106" t="s">
        <v>140</v>
      </c>
      <c r="F521"/>
      <c r="G521"/>
      <c r="H521"/>
      <c r="I521"/>
      <c r="J521"/>
      <c r="K521"/>
      <c r="L521"/>
      <c r="M521"/>
      <c r="N521"/>
      <c r="O521"/>
      <c r="P521"/>
      <c r="Q521"/>
      <c r="R521"/>
      <c r="S521"/>
      <c r="T521"/>
      <c r="U521"/>
      <c r="V521"/>
      <c r="W521"/>
      <c r="X521"/>
      <c r="Y521"/>
      <c r="Z521"/>
    </row>
    <row r="522" spans="1:26">
      <c r="A522"/>
      <c r="B522"/>
      <c r="C522" s="134" t="s">
        <v>2428</v>
      </c>
      <c r="D522" s="106" t="s">
        <v>140</v>
      </c>
      <c r="F522"/>
      <c r="G522"/>
      <c r="H522"/>
      <c r="I522"/>
      <c r="J522"/>
      <c r="K522"/>
      <c r="L522"/>
      <c r="M522"/>
      <c r="N522"/>
      <c r="O522"/>
      <c r="P522"/>
      <c r="Q522"/>
      <c r="R522"/>
      <c r="S522"/>
      <c r="T522"/>
      <c r="U522"/>
      <c r="V522"/>
      <c r="W522"/>
      <c r="X522"/>
      <c r="Y522"/>
      <c r="Z522"/>
    </row>
    <row r="523" spans="1:26">
      <c r="A523"/>
      <c r="B523"/>
      <c r="C523" s="134" t="s">
        <v>2429</v>
      </c>
      <c r="D523" s="106" t="s">
        <v>140</v>
      </c>
      <c r="F523"/>
      <c r="G523"/>
      <c r="H523"/>
      <c r="I523"/>
      <c r="J523"/>
      <c r="K523"/>
      <c r="L523"/>
      <c r="M523"/>
      <c r="N523"/>
      <c r="O523"/>
      <c r="P523"/>
      <c r="Q523"/>
      <c r="R523"/>
      <c r="S523"/>
      <c r="T523"/>
      <c r="U523"/>
      <c r="V523"/>
      <c r="W523"/>
      <c r="X523"/>
      <c r="Y523"/>
      <c r="Z523"/>
    </row>
    <row r="524" spans="1:26">
      <c r="A524"/>
      <c r="B524"/>
      <c r="C524" s="134" t="s">
        <v>2436</v>
      </c>
      <c r="D524" s="106" t="s">
        <v>140</v>
      </c>
      <c r="F524"/>
      <c r="G524"/>
      <c r="H524"/>
      <c r="I524"/>
      <c r="J524"/>
      <c r="K524"/>
      <c r="L524"/>
      <c r="M524"/>
      <c r="N524"/>
      <c r="O524"/>
      <c r="P524"/>
      <c r="Q524"/>
      <c r="R524"/>
      <c r="S524"/>
      <c r="T524"/>
      <c r="U524"/>
      <c r="V524"/>
      <c r="W524"/>
      <c r="X524"/>
      <c r="Y524"/>
      <c r="Z524"/>
    </row>
    <row r="525" spans="1:26">
      <c r="A525"/>
      <c r="B525"/>
      <c r="C525" s="134" t="s">
        <v>2437</v>
      </c>
      <c r="D525" s="106" t="s">
        <v>140</v>
      </c>
      <c r="F525"/>
      <c r="G525"/>
      <c r="H525"/>
      <c r="I525"/>
      <c r="J525"/>
      <c r="K525"/>
      <c r="L525"/>
      <c r="M525"/>
      <c r="N525"/>
      <c r="O525"/>
      <c r="P525"/>
      <c r="Q525"/>
      <c r="R525"/>
      <c r="S525"/>
      <c r="T525"/>
      <c r="U525"/>
      <c r="V525"/>
      <c r="W525"/>
      <c r="X525"/>
      <c r="Y525"/>
      <c r="Z525"/>
    </row>
    <row r="526" spans="1:26" ht="165.75">
      <c r="B526" s="50" t="s">
        <v>2501</v>
      </c>
      <c r="C526" s="134" t="s">
        <v>2595</v>
      </c>
      <c r="D526" s="106" t="s">
        <v>140</v>
      </c>
      <c r="E526" s="105">
        <v>163</v>
      </c>
    </row>
    <row r="527" spans="1:26">
      <c r="C527" s="134" t="s">
        <v>2415</v>
      </c>
      <c r="D527" s="106" t="s">
        <v>140</v>
      </c>
    </row>
    <row r="528" spans="1:26">
      <c r="C528" s="134" t="s">
        <v>2416</v>
      </c>
      <c r="D528" s="106" t="s">
        <v>140</v>
      </c>
    </row>
    <row r="529" spans="1:26">
      <c r="C529" s="134" t="s">
        <v>2417</v>
      </c>
      <c r="D529" s="106" t="s">
        <v>140</v>
      </c>
    </row>
    <row r="530" spans="1:26">
      <c r="A530"/>
      <c r="B530"/>
      <c r="C530" s="134" t="s">
        <v>2419</v>
      </c>
      <c r="D530" s="106" t="s">
        <v>140</v>
      </c>
      <c r="F530"/>
      <c r="G530"/>
      <c r="H530"/>
      <c r="I530"/>
      <c r="J530"/>
      <c r="K530"/>
      <c r="L530"/>
      <c r="M530"/>
      <c r="N530"/>
      <c r="O530"/>
      <c r="P530"/>
      <c r="Q530"/>
      <c r="R530"/>
      <c r="S530"/>
      <c r="T530"/>
      <c r="U530"/>
      <c r="V530"/>
      <c r="W530"/>
      <c r="X530"/>
      <c r="Y530"/>
      <c r="Z530"/>
    </row>
    <row r="531" spans="1:26">
      <c r="A531"/>
      <c r="B531"/>
      <c r="C531" s="134" t="s">
        <v>2420</v>
      </c>
      <c r="D531" s="106" t="s">
        <v>140</v>
      </c>
      <c r="F531"/>
      <c r="G531"/>
      <c r="H531"/>
      <c r="I531"/>
      <c r="J531"/>
      <c r="K531"/>
      <c r="L531"/>
      <c r="M531"/>
      <c r="N531"/>
      <c r="O531"/>
      <c r="P531"/>
      <c r="Q531"/>
      <c r="R531"/>
      <c r="S531"/>
      <c r="T531"/>
      <c r="U531"/>
      <c r="V531"/>
      <c r="W531"/>
      <c r="X531"/>
      <c r="Y531"/>
      <c r="Z531"/>
    </row>
    <row r="532" spans="1:26">
      <c r="A532"/>
      <c r="B532"/>
      <c r="C532" s="134" t="s">
        <v>2421</v>
      </c>
      <c r="D532" s="106" t="s">
        <v>140</v>
      </c>
      <c r="F532"/>
      <c r="G532"/>
      <c r="H532"/>
      <c r="I532"/>
      <c r="J532"/>
      <c r="K532"/>
      <c r="L532"/>
      <c r="M532"/>
      <c r="N532"/>
      <c r="O532"/>
      <c r="P532"/>
      <c r="Q532"/>
      <c r="R532"/>
      <c r="S532"/>
      <c r="T532"/>
      <c r="U532"/>
      <c r="V532"/>
      <c r="W532"/>
      <c r="X532"/>
      <c r="Y532"/>
      <c r="Z532"/>
    </row>
    <row r="533" spans="1:26">
      <c r="A533"/>
      <c r="B533"/>
      <c r="C533" s="134" t="s">
        <v>2422</v>
      </c>
      <c r="D533" s="106" t="s">
        <v>140</v>
      </c>
      <c r="F533"/>
      <c r="G533"/>
      <c r="H533"/>
      <c r="I533"/>
      <c r="J533"/>
      <c r="K533"/>
      <c r="L533"/>
      <c r="M533"/>
      <c r="N533"/>
      <c r="O533"/>
      <c r="P533"/>
      <c r="Q533"/>
      <c r="R533"/>
      <c r="S533"/>
      <c r="T533"/>
      <c r="U533"/>
      <c r="V533"/>
      <c r="W533"/>
      <c r="X533"/>
      <c r="Y533"/>
      <c r="Z533"/>
    </row>
    <row r="534" spans="1:26">
      <c r="A534"/>
      <c r="B534"/>
      <c r="C534" s="134" t="s">
        <v>2423</v>
      </c>
      <c r="D534" s="106" t="s">
        <v>140</v>
      </c>
      <c r="F534"/>
      <c r="G534"/>
      <c r="H534"/>
      <c r="I534"/>
      <c r="J534"/>
      <c r="K534"/>
      <c r="L534"/>
      <c r="M534"/>
      <c r="N534"/>
      <c r="O534"/>
      <c r="P534"/>
      <c r="Q534"/>
      <c r="R534"/>
      <c r="S534"/>
      <c r="T534"/>
      <c r="U534"/>
      <c r="V534"/>
      <c r="W534"/>
      <c r="X534"/>
      <c r="Y534"/>
      <c r="Z534"/>
    </row>
    <row r="535" spans="1:26">
      <c r="A535"/>
      <c r="B535"/>
      <c r="C535" s="134" t="s">
        <v>2430</v>
      </c>
      <c r="D535" s="106" t="s">
        <v>140</v>
      </c>
      <c r="F535"/>
      <c r="G535"/>
      <c r="H535"/>
      <c r="I535"/>
      <c r="J535"/>
      <c r="K535"/>
      <c r="L535"/>
      <c r="M535"/>
      <c r="N535"/>
      <c r="O535"/>
      <c r="P535"/>
      <c r="Q535"/>
      <c r="R535"/>
      <c r="S535"/>
      <c r="T535"/>
      <c r="U535"/>
      <c r="V535"/>
      <c r="W535"/>
      <c r="X535"/>
      <c r="Y535"/>
      <c r="Z535"/>
    </row>
    <row r="536" spans="1:26">
      <c r="A536"/>
      <c r="B536"/>
      <c r="C536" s="134" t="s">
        <v>2432</v>
      </c>
      <c r="D536" s="106" t="s">
        <v>140</v>
      </c>
      <c r="F536"/>
      <c r="G536"/>
      <c r="H536"/>
      <c r="I536"/>
      <c r="J536"/>
      <c r="K536"/>
      <c r="L536"/>
      <c r="M536"/>
      <c r="N536"/>
      <c r="O536"/>
      <c r="P536"/>
      <c r="Q536"/>
      <c r="R536"/>
      <c r="S536"/>
      <c r="T536"/>
      <c r="U536"/>
      <c r="V536"/>
      <c r="W536"/>
      <c r="X536"/>
      <c r="Y536"/>
      <c r="Z536"/>
    </row>
    <row r="537" spans="1:26" ht="114.75">
      <c r="B537" s="50" t="s">
        <v>2502</v>
      </c>
      <c r="C537" s="134" t="s">
        <v>2596</v>
      </c>
      <c r="D537" s="106" t="s">
        <v>140</v>
      </c>
      <c r="E537" s="105">
        <v>10</v>
      </c>
    </row>
    <row r="538" spans="1:26">
      <c r="C538" s="134" t="s">
        <v>2418</v>
      </c>
      <c r="D538" s="106" t="s">
        <v>140</v>
      </c>
    </row>
    <row r="539" spans="1:26">
      <c r="A539"/>
      <c r="B539"/>
      <c r="C539" s="134" t="s">
        <v>2434</v>
      </c>
      <c r="D539" s="106" t="s">
        <v>140</v>
      </c>
      <c r="F539"/>
      <c r="G539"/>
      <c r="H539"/>
      <c r="I539"/>
      <c r="J539"/>
      <c r="K539"/>
      <c r="L539"/>
      <c r="M539"/>
      <c r="N539"/>
      <c r="O539"/>
      <c r="P539"/>
      <c r="Q539"/>
      <c r="R539"/>
      <c r="S539"/>
      <c r="T539"/>
      <c r="U539"/>
      <c r="V539"/>
      <c r="W539"/>
      <c r="X539"/>
      <c r="Y539"/>
      <c r="Z539"/>
    </row>
    <row r="540" spans="1:26" ht="114.75">
      <c r="B540" s="50" t="s">
        <v>2503</v>
      </c>
      <c r="C540" s="134" t="s">
        <v>2597</v>
      </c>
      <c r="D540" s="106" t="s">
        <v>140</v>
      </c>
      <c r="E540" s="105">
        <v>10</v>
      </c>
    </row>
    <row r="541" spans="1:26">
      <c r="C541" s="134" t="s">
        <v>2418</v>
      </c>
      <c r="D541" s="106" t="s">
        <v>140</v>
      </c>
    </row>
    <row r="542" spans="1:26">
      <c r="C542" s="134" t="s">
        <v>2434</v>
      </c>
      <c r="D542" s="106" t="s">
        <v>140</v>
      </c>
    </row>
    <row r="543" spans="1:26">
      <c r="C543" s="134"/>
      <c r="D543" s="106"/>
    </row>
    <row r="544" spans="1:26" ht="76.5">
      <c r="B544" s="50" t="s">
        <v>2507</v>
      </c>
      <c r="C544" s="153" t="s">
        <v>2622</v>
      </c>
      <c r="D544" s="106"/>
      <c r="E544" s="105">
        <v>284</v>
      </c>
    </row>
    <row r="545" spans="2:4">
      <c r="B545" s="50"/>
      <c r="C545" s="134" t="s">
        <v>2425</v>
      </c>
      <c r="D545" s="106" t="s">
        <v>140</v>
      </c>
    </row>
    <row r="546" spans="2:4">
      <c r="B546" s="50"/>
      <c r="C546" s="134" t="s">
        <v>2415</v>
      </c>
      <c r="D546" s="106" t="s">
        <v>140</v>
      </c>
    </row>
    <row r="547" spans="2:4">
      <c r="B547" s="50"/>
      <c r="C547" s="134" t="s">
        <v>2426</v>
      </c>
      <c r="D547" s="106" t="s">
        <v>140</v>
      </c>
    </row>
    <row r="548" spans="2:4" ht="17.25" customHeight="1">
      <c r="B548" s="50"/>
      <c r="C548" s="134" t="s">
        <v>2416</v>
      </c>
      <c r="D548" s="106" t="s">
        <v>140</v>
      </c>
    </row>
    <row r="549" spans="2:4" ht="17.25" customHeight="1">
      <c r="B549" s="50"/>
      <c r="C549" s="134" t="s">
        <v>2417</v>
      </c>
      <c r="D549" s="106" t="s">
        <v>140</v>
      </c>
    </row>
    <row r="550" spans="2:4" ht="17.25" customHeight="1">
      <c r="B550" s="50"/>
      <c r="C550" s="134" t="s">
        <v>2418</v>
      </c>
      <c r="D550" s="106" t="s">
        <v>140</v>
      </c>
    </row>
    <row r="551" spans="2:4" ht="17.25" customHeight="1">
      <c r="B551" s="50"/>
      <c r="C551" s="134" t="s">
        <v>2427</v>
      </c>
      <c r="D551" s="106" t="s">
        <v>140</v>
      </c>
    </row>
    <row r="552" spans="2:4" ht="17.25" customHeight="1">
      <c r="B552" s="50"/>
      <c r="C552" s="134" t="s">
        <v>2428</v>
      </c>
      <c r="D552" s="106" t="s">
        <v>140</v>
      </c>
    </row>
    <row r="553" spans="2:4" ht="17.25" customHeight="1">
      <c r="B553" s="50"/>
      <c r="C553" s="134" t="s">
        <v>2429</v>
      </c>
      <c r="D553" s="106" t="s">
        <v>140</v>
      </c>
    </row>
    <row r="554" spans="2:4" ht="17.25" customHeight="1">
      <c r="B554" s="50"/>
      <c r="C554" s="134" t="s">
        <v>2486</v>
      </c>
      <c r="D554" s="106" t="s">
        <v>140</v>
      </c>
    </row>
    <row r="555" spans="2:4" ht="17.25" customHeight="1">
      <c r="B555" s="50"/>
      <c r="C555" s="134" t="s">
        <v>2525</v>
      </c>
      <c r="D555" s="106" t="s">
        <v>140</v>
      </c>
    </row>
    <row r="556" spans="2:4" ht="17.25" customHeight="1">
      <c r="B556" s="50"/>
      <c r="C556" s="134" t="s">
        <v>2526</v>
      </c>
      <c r="D556" s="106" t="s">
        <v>140</v>
      </c>
    </row>
    <row r="557" spans="2:4">
      <c r="B557" s="50"/>
      <c r="C557" s="134" t="s">
        <v>2422</v>
      </c>
      <c r="D557" s="106" t="s">
        <v>140</v>
      </c>
    </row>
    <row r="558" spans="2:4">
      <c r="B558" s="50"/>
      <c r="C558" s="134" t="s">
        <v>2487</v>
      </c>
      <c r="D558" s="106" t="s">
        <v>140</v>
      </c>
    </row>
    <row r="559" spans="2:4">
      <c r="B559" s="50"/>
      <c r="C559" s="134" t="s">
        <v>2488</v>
      </c>
      <c r="D559" s="106" t="s">
        <v>140</v>
      </c>
    </row>
    <row r="560" spans="2:4">
      <c r="B560" s="50"/>
      <c r="C560" s="134" t="s">
        <v>2432</v>
      </c>
      <c r="D560" s="106" t="s">
        <v>140</v>
      </c>
    </row>
    <row r="561" spans="2:5">
      <c r="B561" s="50"/>
      <c r="C561" s="134" t="s">
        <v>2433</v>
      </c>
      <c r="D561" s="106" t="s">
        <v>140</v>
      </c>
    </row>
    <row r="562" spans="2:5">
      <c r="B562" s="50"/>
      <c r="C562" s="134" t="s">
        <v>2434</v>
      </c>
      <c r="D562" s="106" t="s">
        <v>140</v>
      </c>
    </row>
    <row r="563" spans="2:5">
      <c r="B563" s="50"/>
      <c r="C563" s="134" t="s">
        <v>2436</v>
      </c>
      <c r="D563" s="106" t="s">
        <v>140</v>
      </c>
    </row>
    <row r="564" spans="2:5">
      <c r="B564" s="50"/>
      <c r="C564" s="134" t="s">
        <v>2437</v>
      </c>
      <c r="D564" s="106" t="s">
        <v>140</v>
      </c>
    </row>
    <row r="565" spans="2:5" ht="76.5">
      <c r="B565" s="50" t="s">
        <v>2512</v>
      </c>
      <c r="C565" s="134" t="s">
        <v>2598</v>
      </c>
      <c r="D565" s="106" t="s">
        <v>140</v>
      </c>
      <c r="E565" s="105">
        <v>12</v>
      </c>
    </row>
    <row r="566" spans="2:5">
      <c r="C566" s="134" t="s">
        <v>2505</v>
      </c>
      <c r="D566" s="106" t="s">
        <v>140</v>
      </c>
    </row>
    <row r="567" spans="2:5">
      <c r="C567" s="134" t="s">
        <v>2506</v>
      </c>
      <c r="D567" s="106" t="s">
        <v>140</v>
      </c>
    </row>
    <row r="568" spans="2:5" ht="76.5">
      <c r="B568" s="50" t="s">
        <v>2504</v>
      </c>
      <c r="C568" s="134" t="s">
        <v>2599</v>
      </c>
      <c r="D568" s="106" t="s">
        <v>140</v>
      </c>
      <c r="E568" s="105">
        <v>25</v>
      </c>
    </row>
    <row r="569" spans="2:5">
      <c r="C569" s="134" t="s">
        <v>2508</v>
      </c>
      <c r="D569" s="106" t="s">
        <v>140</v>
      </c>
    </row>
    <row r="570" spans="2:5">
      <c r="C570" s="134" t="s">
        <v>2509</v>
      </c>
      <c r="D570" s="106" t="s">
        <v>140</v>
      </c>
    </row>
    <row r="571" spans="2:5" ht="76.5">
      <c r="B571" s="50" t="s">
        <v>2510</v>
      </c>
      <c r="C571" s="134" t="s">
        <v>2600</v>
      </c>
      <c r="D571" s="106" t="s">
        <v>140</v>
      </c>
      <c r="E571" s="105">
        <v>12</v>
      </c>
    </row>
    <row r="572" spans="2:5">
      <c r="C572" s="134" t="s">
        <v>2505</v>
      </c>
      <c r="D572" s="106" t="s">
        <v>140</v>
      </c>
    </row>
    <row r="573" spans="2:5">
      <c r="C573" s="134" t="s">
        <v>2506</v>
      </c>
      <c r="D573" s="106" t="s">
        <v>140</v>
      </c>
    </row>
    <row r="574" spans="2:5" ht="63.75">
      <c r="B574" s="50" t="s">
        <v>2513</v>
      </c>
      <c r="C574" s="134" t="s">
        <v>2601</v>
      </c>
      <c r="D574" s="106" t="s">
        <v>140</v>
      </c>
      <c r="E574" s="105">
        <v>1</v>
      </c>
    </row>
    <row r="575" spans="2:5">
      <c r="C575" s="134" t="s">
        <v>2506</v>
      </c>
      <c r="D575" s="106" t="s">
        <v>140</v>
      </c>
    </row>
    <row r="576" spans="2:5" ht="59.25" customHeight="1">
      <c r="B576" s="50" t="s">
        <v>2514</v>
      </c>
      <c r="C576" s="134" t="s">
        <v>2602</v>
      </c>
      <c r="D576" s="106" t="s">
        <v>140</v>
      </c>
      <c r="E576" s="105">
        <v>21</v>
      </c>
    </row>
    <row r="577" spans="2:5">
      <c r="C577" s="134" t="s">
        <v>2508</v>
      </c>
      <c r="D577" s="106" t="s">
        <v>140</v>
      </c>
    </row>
    <row r="578" spans="2:5">
      <c r="C578" s="134" t="s">
        <v>2506</v>
      </c>
      <c r="D578" s="106" t="s">
        <v>140</v>
      </c>
    </row>
    <row r="579" spans="2:5">
      <c r="C579" s="134" t="s">
        <v>2509</v>
      </c>
      <c r="D579" s="106" t="s">
        <v>140</v>
      </c>
    </row>
    <row r="580" spans="2:5" ht="60.75" customHeight="1">
      <c r="B580" s="50" t="s">
        <v>2511</v>
      </c>
      <c r="C580" s="134" t="s">
        <v>2603</v>
      </c>
      <c r="D580" s="106" t="s">
        <v>140</v>
      </c>
      <c r="E580" s="105">
        <v>6</v>
      </c>
    </row>
    <row r="581" spans="2:5">
      <c r="C581" s="134" t="s">
        <v>2505</v>
      </c>
      <c r="D581" s="106" t="s">
        <v>140</v>
      </c>
    </row>
    <row r="582" spans="2:5">
      <c r="C582" s="134" t="s">
        <v>2506</v>
      </c>
      <c r="D582" s="106" t="s">
        <v>140</v>
      </c>
    </row>
    <row r="583" spans="2:5" ht="63" customHeight="1">
      <c r="B583" s="50" t="s">
        <v>2515</v>
      </c>
      <c r="C583" s="134" t="s">
        <v>2604</v>
      </c>
      <c r="D583" s="106" t="s">
        <v>140</v>
      </c>
      <c r="E583" s="105">
        <v>6</v>
      </c>
    </row>
    <row r="584" spans="2:5">
      <c r="C584" s="134" t="s">
        <v>2505</v>
      </c>
      <c r="D584" s="106" t="s">
        <v>140</v>
      </c>
    </row>
    <row r="585" spans="2:5">
      <c r="C585" s="134" t="s">
        <v>2506</v>
      </c>
      <c r="D585" s="106" t="s">
        <v>140</v>
      </c>
    </row>
    <row r="586" spans="2:5" ht="38.25">
      <c r="B586" s="50" t="s">
        <v>2528</v>
      </c>
      <c r="C586" s="134" t="s">
        <v>2623</v>
      </c>
      <c r="D586" s="106" t="s">
        <v>140</v>
      </c>
      <c r="E586">
        <v>26</v>
      </c>
    </row>
    <row r="587" spans="2:5">
      <c r="C587" s="134" t="s">
        <v>2508</v>
      </c>
      <c r="D587" s="106" t="s">
        <v>140</v>
      </c>
    </row>
    <row r="588" spans="2:5">
      <c r="C588" s="134" t="s">
        <v>2505</v>
      </c>
      <c r="D588" s="106" t="s">
        <v>140</v>
      </c>
    </row>
    <row r="589" spans="2:5">
      <c r="C589" s="134" t="s">
        <v>2506</v>
      </c>
      <c r="D589" s="106" t="s">
        <v>140</v>
      </c>
    </row>
    <row r="590" spans="2:5">
      <c r="C590" s="134" t="s">
        <v>2509</v>
      </c>
      <c r="D590" s="106" t="s">
        <v>140</v>
      </c>
    </row>
    <row r="591" spans="2:5" ht="76.5">
      <c r="B591" s="50" t="s">
        <v>2529</v>
      </c>
      <c r="C591" s="134" t="s">
        <v>2605</v>
      </c>
      <c r="D591" s="106" t="s">
        <v>140</v>
      </c>
      <c r="E591">
        <v>14</v>
      </c>
    </row>
    <row r="592" spans="2:5">
      <c r="C592" s="134" t="s">
        <v>2530</v>
      </c>
      <c r="D592" s="106" t="s">
        <v>140</v>
      </c>
      <c r="E592"/>
    </row>
    <row r="593" spans="2:5" ht="38.25">
      <c r="B593" s="50" t="s">
        <v>2533</v>
      </c>
      <c r="C593" s="134" t="s">
        <v>2606</v>
      </c>
      <c r="D593" s="106" t="s">
        <v>140</v>
      </c>
      <c r="E593">
        <v>7</v>
      </c>
    </row>
    <row r="594" spans="2:5">
      <c r="C594" s="134" t="s">
        <v>2530</v>
      </c>
      <c r="D594" s="106" t="s">
        <v>140</v>
      </c>
      <c r="E594"/>
    </row>
    <row r="595" spans="2:5" ht="76.5">
      <c r="B595" s="50" t="s">
        <v>2534</v>
      </c>
      <c r="C595" s="134" t="s">
        <v>2607</v>
      </c>
      <c r="D595" s="106" t="s">
        <v>140</v>
      </c>
      <c r="E595" s="105">
        <v>7</v>
      </c>
    </row>
    <row r="596" spans="2:5">
      <c r="C596" s="134" t="s">
        <v>2530</v>
      </c>
      <c r="D596" s="106" t="s">
        <v>140</v>
      </c>
      <c r="E596"/>
    </row>
    <row r="597" spans="2:5" ht="51">
      <c r="B597" s="50" t="s">
        <v>2535</v>
      </c>
      <c r="C597" s="134" t="s">
        <v>2608</v>
      </c>
      <c r="D597" s="106" t="s">
        <v>140</v>
      </c>
      <c r="E597" s="105">
        <v>20</v>
      </c>
    </row>
    <row r="598" spans="2:5">
      <c r="C598" s="134" t="s">
        <v>2530</v>
      </c>
      <c r="D598" s="106" t="s">
        <v>140</v>
      </c>
      <c r="E598"/>
    </row>
    <row r="599" spans="2:5">
      <c r="C599" s="134" t="s">
        <v>2531</v>
      </c>
      <c r="D599" s="106" t="s">
        <v>140</v>
      </c>
      <c r="E599"/>
    </row>
    <row r="600" spans="2:5">
      <c r="C600" s="134" t="s">
        <v>2532</v>
      </c>
      <c r="D600" s="106" t="s">
        <v>140</v>
      </c>
      <c r="E600"/>
    </row>
    <row r="601" spans="2:5" ht="63.75">
      <c r="B601" s="50" t="s">
        <v>2536</v>
      </c>
      <c r="C601" s="134" t="s">
        <v>2609</v>
      </c>
      <c r="D601" s="106" t="s">
        <v>140</v>
      </c>
      <c r="E601">
        <v>7</v>
      </c>
    </row>
    <row r="602" spans="2:5">
      <c r="B602"/>
      <c r="C602" s="134" t="s">
        <v>2530</v>
      </c>
      <c r="D602" s="106" t="s">
        <v>140</v>
      </c>
      <c r="E602"/>
    </row>
    <row r="603" spans="2:5" ht="63.75">
      <c r="B603" s="50" t="s">
        <v>2537</v>
      </c>
      <c r="C603" s="134" t="s">
        <v>2610</v>
      </c>
      <c r="D603" s="106" t="s">
        <v>140</v>
      </c>
      <c r="E603">
        <v>7</v>
      </c>
    </row>
    <row r="604" spans="2:5">
      <c r="C604" s="134" t="s">
        <v>2530</v>
      </c>
      <c r="D604" s="106" t="s">
        <v>140</v>
      </c>
      <c r="E604"/>
    </row>
    <row r="605" spans="2:5" ht="63.75">
      <c r="B605" s="50" t="s">
        <v>2538</v>
      </c>
      <c r="C605" s="134" t="s">
        <v>2611</v>
      </c>
      <c r="D605" s="106" t="s">
        <v>140</v>
      </c>
      <c r="E605" s="105">
        <v>20</v>
      </c>
    </row>
    <row r="606" spans="2:5">
      <c r="C606" s="134" t="s">
        <v>2530</v>
      </c>
      <c r="D606" s="106" t="s">
        <v>140</v>
      </c>
      <c r="E606"/>
    </row>
    <row r="607" spans="2:5">
      <c r="C607" s="134" t="s">
        <v>2531</v>
      </c>
      <c r="D607" s="106" t="s">
        <v>140</v>
      </c>
      <c r="E607"/>
    </row>
    <row r="608" spans="2:5">
      <c r="C608" s="134" t="s">
        <v>2532</v>
      </c>
      <c r="D608" s="106" t="s">
        <v>140</v>
      </c>
      <c r="E608"/>
    </row>
    <row r="609" spans="2:7" ht="63.75">
      <c r="B609" s="50" t="s">
        <v>2539</v>
      </c>
      <c r="C609" s="134" t="s">
        <v>2612</v>
      </c>
      <c r="D609" s="106" t="s">
        <v>140</v>
      </c>
      <c r="E609">
        <v>13</v>
      </c>
    </row>
    <row r="610" spans="2:7">
      <c r="C610" s="134" t="s">
        <v>2531</v>
      </c>
      <c r="D610" s="106" t="s">
        <v>140</v>
      </c>
      <c r="E610"/>
    </row>
    <row r="611" spans="2:7">
      <c r="C611" s="134" t="s">
        <v>2532</v>
      </c>
      <c r="D611" s="106" t="s">
        <v>140</v>
      </c>
      <c r="E611"/>
    </row>
    <row r="612" spans="2:7" ht="51">
      <c r="B612" s="50" t="s">
        <v>2540</v>
      </c>
      <c r="C612" s="134" t="s">
        <v>2613</v>
      </c>
      <c r="D612" s="106" t="s">
        <v>140</v>
      </c>
      <c r="E612">
        <v>7</v>
      </c>
    </row>
    <row r="613" spans="2:7">
      <c r="C613" s="134" t="s">
        <v>2530</v>
      </c>
      <c r="D613" s="106" t="s">
        <v>140</v>
      </c>
      <c r="E613"/>
    </row>
    <row r="615" spans="2:7">
      <c r="B615" s="168"/>
      <c r="C615" s="170" t="s">
        <v>21</v>
      </c>
      <c r="D615" s="169"/>
      <c r="E615" s="168"/>
      <c r="F615" s="168"/>
      <c r="G615" s="171">
        <f>SUM(G12:G613)</f>
        <v>0</v>
      </c>
    </row>
  </sheetData>
  <mergeCells count="9">
    <mergeCell ref="L8:L9"/>
    <mergeCell ref="M8:M9"/>
    <mergeCell ref="B1:G1"/>
    <mergeCell ref="B2:G2"/>
    <mergeCell ref="B3:G3"/>
    <mergeCell ref="B4:G4"/>
    <mergeCell ref="M4:M6"/>
    <mergeCell ref="C5:G5"/>
    <mergeCell ref="C6:G6"/>
  </mergeCells>
  <phoneticPr fontId="50"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Folhas de Cálculo</vt:lpstr>
      </vt:variant>
      <vt:variant>
        <vt:i4>3</vt:i4>
      </vt:variant>
      <vt:variant>
        <vt:lpstr>Intervalos com Nome</vt:lpstr>
      </vt:variant>
      <vt:variant>
        <vt:i4>4</vt:i4>
      </vt:variant>
    </vt:vector>
  </HeadingPairs>
  <TitlesOfParts>
    <vt:vector size="7" baseType="lpstr">
      <vt:lpstr>Resumo</vt:lpstr>
      <vt:lpstr>LPU detalhado</vt:lpstr>
      <vt:lpstr>FF&amp;E</vt:lpstr>
      <vt:lpstr>'LPU detalhado'!Área_de_Impressão</vt:lpstr>
      <vt:lpstr>Resumo!Área_de_Impressão</vt:lpstr>
      <vt:lpstr>'LPU detalhado'!Títulos_de_Impressão</vt:lpstr>
      <vt:lpstr>Resumo!Títulos_de_Impressão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andre.vieira</dc:creator>
  <cp:keywords/>
  <dc:description/>
  <cp:lastModifiedBy>Marco Rebelo - Huitre</cp:lastModifiedBy>
  <cp:revision/>
  <dcterms:created xsi:type="dcterms:W3CDTF">2012-09-28T13:47:10Z</dcterms:created>
  <dcterms:modified xsi:type="dcterms:W3CDTF">2025-10-24T18:12:47Z</dcterms:modified>
  <cp:category/>
  <cp:contentStatus/>
</cp:coreProperties>
</file>